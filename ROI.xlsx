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Users/nikhil/Documents/ECS/"/>
    </mc:Choice>
  </mc:AlternateContent>
  <xr:revisionPtr revIDLastSave="0" documentId="13_ncr:1_{4F1B385D-2B1F-404D-9EA2-77193F829CA3}" xr6:coauthVersionLast="45" xr6:coauthVersionMax="47" xr10:uidLastSave="{00000000-0000-0000-0000-000000000000}"/>
  <bookViews>
    <workbookView xWindow="0" yWindow="660" windowWidth="29400" windowHeight="16660" activeTab="5" xr2:uid="{00000000-000D-0000-FFFF-FFFF00000000}"/>
  </bookViews>
  <sheets>
    <sheet name="FY 25 -26" sheetId="6" r:id="rId1"/>
    <sheet name="Framework_Master" sheetId="1" r:id="rId2"/>
    <sheet name="Scenarios" sheetId="2" r:id="rId3"/>
    <sheet name="Storage_Savings" sheetId="3" r:id="rId4"/>
    <sheet name="FTE_Savings" sheetId="4" r:id="rId5"/>
    <sheet name="Executive_Dashboard" sheetId="5" r:id="rId6"/>
  </sheets>
  <definedNames>
    <definedName name="_xlnm._FilterDatabase" localSheetId="0" hidden="1">'FY 25 -26'!$A$1:$L$18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5" l="1"/>
  <c r="H5" i="5" l="1"/>
  <c r="G5" i="5"/>
  <c r="F5" i="5"/>
  <c r="E5" i="5"/>
  <c r="H3" i="5"/>
  <c r="F3" i="5"/>
  <c r="E3" i="5"/>
  <c r="D3" i="5"/>
  <c r="C3" i="5"/>
  <c r="G3" i="1" l="1"/>
  <c r="B5" i="5"/>
  <c r="D5" i="5"/>
  <c r="C5" i="5"/>
  <c r="C3" i="2"/>
  <c r="C4" i="2" s="1"/>
  <c r="C11" i="6"/>
  <c r="F3" i="1" l="1"/>
  <c r="I3" i="1" s="1"/>
  <c r="K3" i="1" s="1"/>
  <c r="F4" i="1"/>
  <c r="G4" i="1" s="1"/>
  <c r="I4" i="1" s="1"/>
  <c r="K4" i="1" s="1"/>
  <c r="F5" i="1"/>
  <c r="G5" i="1" s="1"/>
  <c r="I5" i="1" s="1"/>
  <c r="K5" i="1" s="1"/>
  <c r="F6" i="1"/>
  <c r="G6" i="1" s="1"/>
  <c r="I6" i="1" s="1"/>
  <c r="K6" i="1" s="1"/>
  <c r="F7" i="1"/>
  <c r="G7" i="1" s="1"/>
  <c r="I7" i="1" s="1"/>
  <c r="K7" i="1" s="1"/>
  <c r="F8" i="1"/>
  <c r="G8" i="1" s="1"/>
  <c r="I8" i="1" s="1"/>
  <c r="K8" i="1" s="1"/>
  <c r="F9" i="1"/>
  <c r="G9" i="1" s="1"/>
  <c r="I9" i="1" s="1"/>
  <c r="K9" i="1" s="1"/>
  <c r="F10" i="1"/>
  <c r="G10" i="1" s="1"/>
  <c r="I10" i="1" s="1"/>
  <c r="K10" i="1" s="1"/>
  <c r="F11" i="1"/>
  <c r="G11" i="1" s="1"/>
  <c r="I11" i="1" s="1"/>
  <c r="K11" i="1" s="1"/>
  <c r="F12" i="1"/>
  <c r="G12" i="1" s="1"/>
  <c r="I12" i="1" s="1"/>
  <c r="K12" i="1" s="1"/>
  <c r="F13" i="1"/>
  <c r="G13" i="1" s="1"/>
  <c r="I13" i="1" s="1"/>
  <c r="K13" i="1" s="1"/>
  <c r="F14" i="1"/>
  <c r="G14" i="1" s="1"/>
  <c r="I14" i="1" s="1"/>
  <c r="K14" i="1" s="1"/>
  <c r="F15" i="1"/>
  <c r="G15" i="1" s="1"/>
  <c r="I15" i="1" s="1"/>
  <c r="K15" i="1" s="1"/>
  <c r="F16" i="1"/>
  <c r="G16" i="1" s="1"/>
  <c r="I16" i="1" s="1"/>
  <c r="K16" i="1" s="1"/>
  <c r="F17" i="1"/>
  <c r="G17" i="1" s="1"/>
  <c r="I17" i="1" s="1"/>
  <c r="K17" i="1" s="1"/>
  <c r="F18" i="1"/>
  <c r="G18" i="1" s="1"/>
  <c r="I18" i="1" s="1"/>
  <c r="K18" i="1" s="1"/>
  <c r="F2" i="1"/>
  <c r="G2" i="1" s="1"/>
  <c r="I2" i="1" s="1"/>
  <c r="K2" i="1" s="1"/>
  <c r="F2" i="6"/>
  <c r="G2" i="6" s="1"/>
  <c r="I2" i="6" s="1"/>
  <c r="K2" i="6" s="1"/>
  <c r="D4" i="6"/>
  <c r="F4" i="6" s="1"/>
  <c r="G4" i="6" s="1"/>
  <c r="I4" i="6" s="1"/>
  <c r="K4" i="6" s="1"/>
  <c r="D5" i="6"/>
  <c r="F5" i="6" s="1"/>
  <c r="G5" i="6" s="1"/>
  <c r="I5" i="6" s="1"/>
  <c r="K5" i="6" s="1"/>
  <c r="D6" i="6"/>
  <c r="F6" i="6" s="1"/>
  <c r="G6" i="6" s="1"/>
  <c r="I6" i="6" s="1"/>
  <c r="K6" i="6" s="1"/>
  <c r="D7" i="6"/>
  <c r="F7" i="6" s="1"/>
  <c r="G7" i="6" s="1"/>
  <c r="I7" i="6" s="1"/>
  <c r="K7" i="6" s="1"/>
  <c r="D8" i="6"/>
  <c r="F8" i="6" s="1"/>
  <c r="G8" i="6" s="1"/>
  <c r="I8" i="6" s="1"/>
  <c r="K8" i="6" s="1"/>
  <c r="D9" i="6"/>
  <c r="F9" i="6" s="1"/>
  <c r="G9" i="6" s="1"/>
  <c r="I9" i="6" s="1"/>
  <c r="K9" i="6" s="1"/>
  <c r="D10" i="6"/>
  <c r="F10" i="6" s="1"/>
  <c r="G10" i="6" s="1"/>
  <c r="I10" i="6" s="1"/>
  <c r="K10" i="6" s="1"/>
  <c r="F11" i="6"/>
  <c r="G11" i="6" s="1"/>
  <c r="I11" i="6" s="1"/>
  <c r="K11" i="6" s="1"/>
  <c r="D12" i="6"/>
  <c r="F12" i="6" s="1"/>
  <c r="G12" i="6" s="1"/>
  <c r="I12" i="6" s="1"/>
  <c r="K12" i="6" s="1"/>
  <c r="D13" i="6"/>
  <c r="F13" i="6" s="1"/>
  <c r="G13" i="6" s="1"/>
  <c r="I13" i="6" s="1"/>
  <c r="K13" i="6" s="1"/>
  <c r="D14" i="6"/>
  <c r="F14" i="6" s="1"/>
  <c r="G14" i="6" s="1"/>
  <c r="I14" i="6" s="1"/>
  <c r="K14" i="6" s="1"/>
  <c r="D15" i="6"/>
  <c r="F15" i="6" s="1"/>
  <c r="G15" i="6" s="1"/>
  <c r="I15" i="6" s="1"/>
  <c r="K15" i="6" s="1"/>
  <c r="D16" i="6"/>
  <c r="F16" i="6" s="1"/>
  <c r="G16" i="6" s="1"/>
  <c r="I16" i="6" s="1"/>
  <c r="K16" i="6" s="1"/>
  <c r="D17" i="6"/>
  <c r="F17" i="6" s="1"/>
  <c r="G17" i="6" s="1"/>
  <c r="I17" i="6" s="1"/>
  <c r="K17" i="6" s="1"/>
  <c r="D18" i="6"/>
  <c r="F18" i="6" s="1"/>
  <c r="G18" i="6" s="1"/>
  <c r="I18" i="6" s="1"/>
  <c r="K18" i="6" s="1"/>
  <c r="D3" i="6"/>
  <c r="F3" i="6" s="1"/>
  <c r="G3" i="6" s="1"/>
  <c r="I3" i="6" s="1"/>
  <c r="K3" i="6" s="1"/>
  <c r="D7" i="3"/>
  <c r="K20" i="1" l="1"/>
  <c r="K20" i="6"/>
  <c r="I20" i="1"/>
</calcChain>
</file>

<file path=xl/sharedStrings.xml><?xml version="1.0" encoding="utf-8"?>
<sst xmlns="http://schemas.openxmlformats.org/spreadsheetml/2006/main" count="133" uniqueCount="95">
  <si>
    <t>Framework</t>
  </si>
  <si>
    <t xml:space="preserve">Application </t>
  </si>
  <si>
    <t>Total Obs</t>
  </si>
  <si>
    <t>Emails/Observation</t>
  </si>
  <si>
    <t>Emails without ECS</t>
  </si>
  <si>
    <t>Emails Saved</t>
  </si>
  <si>
    <t>Minutes/Email</t>
  </si>
  <si>
    <t>Hours Saved</t>
  </si>
  <si>
    <t>Cost/Hour (Rs)</t>
  </si>
  <si>
    <t>Annual Saving (Cr)</t>
  </si>
  <si>
    <t>Justification</t>
  </si>
  <si>
    <t>VAPT</t>
  </si>
  <si>
    <t>PCI DSS</t>
  </si>
  <si>
    <t>DPSC</t>
  </si>
  <si>
    <t>CSITE</t>
  </si>
  <si>
    <t>ITPP</t>
  </si>
  <si>
    <t>ITDRM</t>
  </si>
  <si>
    <t>MBSS</t>
  </si>
  <si>
    <t>ASST</t>
  </si>
  <si>
    <t>IS Audit</t>
  </si>
  <si>
    <t>Internal Audit</t>
  </si>
  <si>
    <t>TPRE</t>
  </si>
  <si>
    <t>TPRM</t>
  </si>
  <si>
    <t>Prisma Alerts</t>
  </si>
  <si>
    <t>Cloud Security Reviews</t>
  </si>
  <si>
    <t>OS Baselining</t>
  </si>
  <si>
    <t>DB Baselining</t>
  </si>
  <si>
    <t>Middleware Baselining</t>
  </si>
  <si>
    <t>Applications</t>
  </si>
  <si>
    <t>Observations/App</t>
  </si>
  <si>
    <t>Total Observations</t>
  </si>
  <si>
    <t>Emails w/o ECS</t>
  </si>
  <si>
    <t>37500 observations x 8 emails</t>
  </si>
  <si>
    <t>Evidence reuse across controls</t>
  </si>
  <si>
    <t>Compliance evidence automation</t>
  </si>
  <si>
    <t>Cyber examination evidence automation</t>
  </si>
  <si>
    <t>Policy compliance evidence automation</t>
  </si>
  <si>
    <t>Digital risk review automation</t>
  </si>
  <si>
    <t>Mobile Banking Security Standard</t>
  </si>
  <si>
    <t>Application Security Standard</t>
  </si>
  <si>
    <t>IS audit evidence handling</t>
  </si>
  <si>
    <t>Audit evidence reuse</t>
  </si>
  <si>
    <t>Third-party assessment evidence</t>
  </si>
  <si>
    <t>Vendor risk evidence management</t>
  </si>
  <si>
    <t>Cloud alert evidence tracking</t>
  </si>
  <si>
    <t>Cloud compliance reviews</t>
  </si>
  <si>
    <t>OS baseline validation</t>
  </si>
  <si>
    <t>Database baseline validation</t>
  </si>
  <si>
    <t>Middleware baseline validation</t>
  </si>
  <si>
    <t xml:space="preserve">Annual Saving </t>
  </si>
  <si>
    <t>Rounded Total</t>
  </si>
  <si>
    <t>Year</t>
  </si>
  <si>
    <t>Annual Savings (Cr)</t>
  </si>
  <si>
    <t>Year 1</t>
  </si>
  <si>
    <t>Year 2</t>
  </si>
  <si>
    <t>Year 3</t>
  </si>
  <si>
    <t>Area</t>
  </si>
  <si>
    <t>Volume Assumption</t>
  </si>
  <si>
    <t>Storage Reduction</t>
  </si>
  <si>
    <t>SharePoint</t>
  </si>
  <si>
    <t>200,000 files @5MB</t>
  </si>
  <si>
    <t>~1 TB</t>
  </si>
  <si>
    <t>Evidence stored once in ECS instead of multiple copies</t>
  </si>
  <si>
    <t>Teams</t>
  </si>
  <si>
    <t>100,000 files/year</t>
  </si>
  <si>
    <t>~500 GB</t>
  </si>
  <si>
    <t>Links replace repeated sharing</t>
  </si>
  <si>
    <t>Exchange</t>
  </si>
  <si>
    <t>200,000 attachments/year</t>
  </si>
  <si>
    <t>Reduced mailbox growth</t>
  </si>
  <si>
    <t>Backups</t>
  </si>
  <si>
    <t>All repositories</t>
  </si>
  <si>
    <t>~2 TB</t>
  </si>
  <si>
    <t>Centralized backup footprint</t>
  </si>
  <si>
    <t>File Servers</t>
  </si>
  <si>
    <t>100,000 files</t>
  </si>
  <si>
    <t>Duplicate audit folders eliminated</t>
  </si>
  <si>
    <t>Metric</t>
  </si>
  <si>
    <t>Value</t>
  </si>
  <si>
    <t>Rounded from framework calculations</t>
  </si>
  <si>
    <t>Cost per Hour (Rs)</t>
  </si>
  <si>
    <t>₹20L salary / 2000 hours</t>
  </si>
  <si>
    <t>Rounded executive number (90k*1000)</t>
  </si>
  <si>
    <t>Average Salary (Rs)</t>
  </si>
  <si>
    <t>Loaded employee cost</t>
  </si>
  <si>
    <t>FTE Equivalent</t>
  </si>
  <si>
    <t>45438/2000</t>
  </si>
  <si>
    <t>ECS Cost (Cr)</t>
  </si>
  <si>
    <t>Net Benefit (Cr)</t>
  </si>
  <si>
    <t>Year 4</t>
  </si>
  <si>
    <t>Year 5</t>
  </si>
  <si>
    <t>Year 6</t>
  </si>
  <si>
    <t>Year 7</t>
  </si>
  <si>
    <t>Observations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</si>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</sst>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[$INR]\ #,##0"/>
  </numFmts>
  <fonts count="8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name val="Calibri"/>
      <family val="2"/>
    </font>
    <font>
      <sz val="16"/>
      <color theme="1"/>
      <name val="Calibri (Body)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4" fillId="0" borderId="1" xfId="0" applyFont="1" applyBorder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4" fontId="2" fillId="0" borderId="0" xfId="1" applyFont="1"/>
    <xf numFmtId="1" fontId="2" fillId="0" borderId="0" xfId="0" applyNumberFormat="1" applyFont="1"/>
    <xf numFmtId="1" fontId="4" fillId="0" borderId="0" xfId="0" applyNumberFormat="1" applyFont="1"/>
    <xf numFmtId="164" fontId="2" fillId="0" borderId="2" xfId="1" applyFont="1" applyBorder="1"/>
    <xf numFmtId="0" fontId="2" fillId="0" borderId="2" xfId="0" applyFont="1" applyBorder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" fontId="4" fillId="0" borderId="1" xfId="0" applyNumberFormat="1" applyFont="1" applyBorder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7" fillId="2" borderId="1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Executive_Dashboard!$A$2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Executive_Dashboard!$B$1:$H$1</c:f>
              <c:strCache>
                <c:ptCount val="7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</c:strCache>
            </c:strRef>
          </c:cat>
          <c:val>
            <c:numRef>
              <c:f>Executive_Dashboard!$B$2:$H$2</c:f>
              <c:numCache>
                <c:formatCode>General</c:formatCode>
                <c:ptCount val="7"/>
                <c:pt idx="0">
                  <c:v>25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B-464F-913D-921963A55B38}"/>
            </c:ext>
          </c:extLst>
        </c:ser>
        <c:ser>
          <c:idx val="1"/>
          <c:order val="1"/>
          <c:tx>
            <c:strRef>
              <c:f>Executive_Dashboard!$A$3</c:f>
              <c:strCache>
                <c:ptCount val="1"/>
                <c:pt idx="0">
                  <c:v>Annual Savings (Cr)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Executive_Dashboard!$B$1:$H$1</c:f>
              <c:strCache>
                <c:ptCount val="7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</c:strCache>
            </c:strRef>
          </c:cat>
          <c:val>
            <c:numRef>
              <c:f>Executive_Dashboard!$B$3:$H$3</c:f>
              <c:numCache>
                <c:formatCode>General</c:formatCode>
                <c:ptCount val="7"/>
                <c:pt idx="0">
                  <c:v>4.54</c:v>
                </c:pt>
                <c:pt idx="1">
                  <c:v>18.16</c:v>
                </c:pt>
                <c:pt idx="2">
                  <c:v>36.32</c:v>
                </c:pt>
                <c:pt idx="3">
                  <c:v>72.64</c:v>
                </c:pt>
                <c:pt idx="4">
                  <c:v>90.8</c:v>
                </c:pt>
                <c:pt idx="5">
                  <c:v>108.96000000000001</c:v>
                </c:pt>
                <c:pt idx="6">
                  <c:v>145.28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2B-464F-913D-921963A55B38}"/>
            </c:ext>
          </c:extLst>
        </c:ser>
        <c:ser>
          <c:idx val="2"/>
          <c:order val="2"/>
          <c:tx>
            <c:strRef>
              <c:f>Executive_Dashboard!$A$4</c:f>
              <c:strCache>
                <c:ptCount val="1"/>
                <c:pt idx="0">
                  <c:v>ECS Cost (Cr)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Executive_Dashboard!$B$1:$H$1</c:f>
              <c:strCache>
                <c:ptCount val="7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</c:strCache>
            </c:strRef>
          </c:cat>
          <c:val>
            <c:numRef>
              <c:f>Executive_Dashboard!$B$4:$H$4</c:f>
              <c:numCache>
                <c:formatCode>General</c:formatCode>
                <c:ptCount val="7"/>
                <c:pt idx="0">
                  <c:v>4</c:v>
                </c:pt>
                <c:pt idx="1">
                  <c:v>2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2.2000000000000002</c:v>
                </c:pt>
                <c:pt idx="6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2B-464F-913D-921963A55B38}"/>
            </c:ext>
          </c:extLst>
        </c:ser>
        <c:ser>
          <c:idx val="3"/>
          <c:order val="3"/>
          <c:tx>
            <c:strRef>
              <c:f>Executive_Dashboard!$A$5</c:f>
              <c:strCache>
                <c:ptCount val="1"/>
                <c:pt idx="0">
                  <c:v>Net Benefit (Cr)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Executive_Dashboard!$B$1:$H$1</c:f>
              <c:strCache>
                <c:ptCount val="7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</c:strCache>
            </c:strRef>
          </c:cat>
          <c:val>
            <c:numRef>
              <c:f>Executive_Dashboard!$B$5:$H$5</c:f>
              <c:numCache>
                <c:formatCode>General</c:formatCode>
                <c:ptCount val="7"/>
                <c:pt idx="0">
                  <c:v>0.54</c:v>
                </c:pt>
                <c:pt idx="1">
                  <c:v>16.16</c:v>
                </c:pt>
                <c:pt idx="2">
                  <c:v>34.119999999999997</c:v>
                </c:pt>
                <c:pt idx="3">
                  <c:v>70.44</c:v>
                </c:pt>
                <c:pt idx="4">
                  <c:v>88.6</c:v>
                </c:pt>
                <c:pt idx="5">
                  <c:v>106.76</c:v>
                </c:pt>
                <c:pt idx="6">
                  <c:v>143.08000000000001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2B-464F-913D-921963A55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0969952"/>
        <c:axId val="820971584"/>
      </c:barChart>
      <c:catAx>
        <c:axId val="82096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71584"/>
        <c:crosses val="autoZero"/>
        <c:auto val="1"/>
        <c:lblAlgn val="ctr"/>
        <c:lblOffset val="100"/>
        <c:noMultiLvlLbl val="0"/>
      </c:catAx>
      <c:valAx>
        <c:axId val="8209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146050</xdr:colOff>
      <xdr:row>8</xdr:row>
      <xdr:rowOff>76200</xdr:rowOff>
    </xdr:from>
    <xdr:to>
      <xdr:col>17</xdr:col>
      <xdr:colOff>139700</xdr:colOff>
      <xdr:row>23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002972-B555-EC4E-96D2-5C66C770F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4FE1-3E78-4F24-847C-5FF9BDB7067B}">
  <dimension ref="A1:L20"/>
  <sheetViews>
    <sheetView zoomScale="90" zoomScaleNormal="90" workbookViewId="0">
      <pane xSplit="3" topLeftCell="D1" activePane="topRight" state="frozen"/>
      <selection pane="topRight" activeCell="B4" sqref="B4"/>
    </sheetView>
  </sheetViews>
  <sheetFormatPr baseColWidth="10" defaultColWidth="23" defaultRowHeight="15"/>
  <sheetData>
    <row r="1" spans="1:12" s="19" customFormat="1" ht="44">
      <c r="A1" s="15" t="s">
        <v>0</v>
      </c>
      <c r="B1" s="15" t="s">
        <v>1</v>
      </c>
      <c r="C1" s="15" t="s">
        <v>93</v>
      </c>
      <c r="D1" s="18" t="s">
        <v>2</v>
      </c>
      <c r="E1" s="16" t="s">
        <v>94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</row>
    <row r="2" spans="1:12" ht="21">
      <c r="A2" s="6" t="s">
        <v>11</v>
      </c>
      <c r="B2" s="7">
        <v>600</v>
      </c>
      <c r="C2" s="5">
        <v>25</v>
      </c>
      <c r="D2" s="7">
        <v>14000</v>
      </c>
      <c r="E2" s="7">
        <v>8</v>
      </c>
      <c r="F2" s="7">
        <f>D2*E2</f>
        <v>112000</v>
      </c>
      <c r="G2" s="7">
        <f>F2*0.6</f>
        <v>67200</v>
      </c>
      <c r="H2" s="7">
        <v>5</v>
      </c>
      <c r="I2" s="7">
        <f>G2*H2/60</f>
        <v>5600</v>
      </c>
      <c r="J2" s="7">
        <v>1000</v>
      </c>
      <c r="K2" s="7">
        <f>I2*J2/10000000</f>
        <v>0.56000000000000005</v>
      </c>
    </row>
    <row r="3" spans="1:12" ht="21">
      <c r="A3" s="6" t="s">
        <v>12</v>
      </c>
      <c r="B3" s="7">
        <v>98</v>
      </c>
      <c r="C3" s="7">
        <v>22</v>
      </c>
      <c r="D3" s="5">
        <f t="shared" ref="D3:D18" si="0">B3*C3</f>
        <v>2156</v>
      </c>
      <c r="E3" s="7">
        <v>6</v>
      </c>
      <c r="F3" s="7">
        <f>D3*E3</f>
        <v>12936</v>
      </c>
      <c r="G3" s="7">
        <f t="shared" ref="G3:G18" si="1">F3*0.6</f>
        <v>7761.5999999999995</v>
      </c>
      <c r="H3" s="7">
        <v>5</v>
      </c>
      <c r="I3" s="7">
        <f t="shared" ref="I3:I18" si="2">G3*H3/60</f>
        <v>646.79999999999995</v>
      </c>
      <c r="J3" s="7">
        <v>1000</v>
      </c>
      <c r="K3" s="7">
        <f t="shared" ref="K3:K18" si="3">I3*J3/10000000</f>
        <v>6.4680000000000001E-2</v>
      </c>
    </row>
    <row r="4" spans="1:12" ht="21">
      <c r="A4" s="6" t="s">
        <v>13</v>
      </c>
      <c r="B4" s="7">
        <v>58</v>
      </c>
      <c r="C4" s="7">
        <v>122</v>
      </c>
      <c r="D4" s="5">
        <f t="shared" si="0"/>
        <v>7076</v>
      </c>
      <c r="E4" s="7">
        <v>6</v>
      </c>
      <c r="F4" s="7">
        <f t="shared" ref="F4:F18" si="4">D4*E4</f>
        <v>42456</v>
      </c>
      <c r="G4" s="7">
        <f t="shared" si="1"/>
        <v>25473.599999999999</v>
      </c>
      <c r="H4" s="7">
        <v>5</v>
      </c>
      <c r="I4" s="7">
        <f t="shared" si="2"/>
        <v>2122.8000000000002</v>
      </c>
      <c r="J4" s="7">
        <v>1000</v>
      </c>
      <c r="K4" s="7">
        <f t="shared" si="3"/>
        <v>0.21228</v>
      </c>
    </row>
    <row r="5" spans="1:12" ht="21">
      <c r="A5" s="6" t="s">
        <v>14</v>
      </c>
      <c r="B5" s="7">
        <v>600</v>
      </c>
      <c r="C5" s="7">
        <v>5</v>
      </c>
      <c r="D5" s="5">
        <f t="shared" si="0"/>
        <v>3000</v>
      </c>
      <c r="E5" s="7">
        <v>6</v>
      </c>
      <c r="F5" s="7">
        <f t="shared" si="4"/>
        <v>18000</v>
      </c>
      <c r="G5" s="7">
        <f t="shared" si="1"/>
        <v>10800</v>
      </c>
      <c r="H5" s="7">
        <v>5</v>
      </c>
      <c r="I5" s="7">
        <f t="shared" si="2"/>
        <v>900</v>
      </c>
      <c r="J5" s="7">
        <v>1000</v>
      </c>
      <c r="K5" s="7">
        <f t="shared" si="3"/>
        <v>0.09</v>
      </c>
    </row>
    <row r="6" spans="1:12" ht="21">
      <c r="A6" s="6" t="s">
        <v>15</v>
      </c>
      <c r="B6" s="7">
        <v>902</v>
      </c>
      <c r="C6" s="7">
        <v>100</v>
      </c>
      <c r="D6" s="5">
        <f t="shared" si="0"/>
        <v>90200</v>
      </c>
      <c r="E6" s="7">
        <v>5</v>
      </c>
      <c r="F6" s="7">
        <f t="shared" si="4"/>
        <v>451000</v>
      </c>
      <c r="G6" s="7">
        <f t="shared" si="1"/>
        <v>270600</v>
      </c>
      <c r="H6" s="7">
        <v>5</v>
      </c>
      <c r="I6" s="7">
        <f t="shared" si="2"/>
        <v>22550</v>
      </c>
      <c r="J6" s="7">
        <v>1000</v>
      </c>
      <c r="K6" s="7">
        <f t="shared" si="3"/>
        <v>2.2549999999999999</v>
      </c>
    </row>
    <row r="7" spans="1:12" ht="21">
      <c r="A7" s="6" t="s">
        <v>16</v>
      </c>
      <c r="B7" s="7">
        <v>900</v>
      </c>
      <c r="C7" s="7">
        <v>52</v>
      </c>
      <c r="D7" s="5">
        <f t="shared" si="0"/>
        <v>46800</v>
      </c>
      <c r="E7" s="7">
        <v>5</v>
      </c>
      <c r="F7" s="7">
        <f t="shared" si="4"/>
        <v>234000</v>
      </c>
      <c r="G7" s="7">
        <f t="shared" si="1"/>
        <v>140400</v>
      </c>
      <c r="H7" s="7">
        <v>5</v>
      </c>
      <c r="I7" s="7">
        <f t="shared" si="2"/>
        <v>11700</v>
      </c>
      <c r="J7" s="7">
        <v>1000</v>
      </c>
      <c r="K7" s="7">
        <f t="shared" si="3"/>
        <v>1.17</v>
      </c>
    </row>
    <row r="8" spans="1:12" ht="21">
      <c r="A8" s="6" t="s">
        <v>17</v>
      </c>
      <c r="B8" s="7">
        <v>600</v>
      </c>
      <c r="C8" s="7">
        <v>40</v>
      </c>
      <c r="D8" s="5">
        <f t="shared" si="0"/>
        <v>24000</v>
      </c>
      <c r="E8" s="7">
        <v>5</v>
      </c>
      <c r="F8" s="7">
        <f t="shared" si="4"/>
        <v>120000</v>
      </c>
      <c r="G8" s="7">
        <f t="shared" si="1"/>
        <v>72000</v>
      </c>
      <c r="H8" s="7">
        <v>5</v>
      </c>
      <c r="I8" s="7">
        <f t="shared" si="2"/>
        <v>6000</v>
      </c>
      <c r="J8" s="7">
        <v>1000</v>
      </c>
      <c r="K8" s="7">
        <f t="shared" si="3"/>
        <v>0.6</v>
      </c>
    </row>
    <row r="9" spans="1:12" ht="21">
      <c r="A9" s="6" t="s">
        <v>18</v>
      </c>
      <c r="B9" s="7">
        <v>900</v>
      </c>
      <c r="C9" s="7">
        <v>149</v>
      </c>
      <c r="D9" s="5">
        <f t="shared" si="0"/>
        <v>134100</v>
      </c>
      <c r="E9" s="7">
        <v>5</v>
      </c>
      <c r="F9" s="7">
        <f t="shared" si="4"/>
        <v>670500</v>
      </c>
      <c r="G9" s="7">
        <f t="shared" si="1"/>
        <v>402300</v>
      </c>
      <c r="H9" s="7">
        <v>5</v>
      </c>
      <c r="I9" s="7">
        <f t="shared" si="2"/>
        <v>33525</v>
      </c>
      <c r="J9" s="7">
        <v>1000</v>
      </c>
      <c r="K9" s="7">
        <f t="shared" si="3"/>
        <v>3.3525</v>
      </c>
    </row>
    <row r="10" spans="1:12" ht="21">
      <c r="A10" s="6" t="s">
        <v>19</v>
      </c>
      <c r="B10" s="7">
        <v>900</v>
      </c>
      <c r="C10" s="7">
        <v>100</v>
      </c>
      <c r="D10" s="5">
        <f t="shared" si="0"/>
        <v>90000</v>
      </c>
      <c r="E10" s="7">
        <v>6</v>
      </c>
      <c r="F10" s="7">
        <f t="shared" si="4"/>
        <v>540000</v>
      </c>
      <c r="G10" s="7">
        <f t="shared" si="1"/>
        <v>324000</v>
      </c>
      <c r="H10" s="7">
        <v>5</v>
      </c>
      <c r="I10" s="7">
        <f t="shared" si="2"/>
        <v>27000</v>
      </c>
      <c r="J10" s="7">
        <v>1000</v>
      </c>
      <c r="K10" s="7">
        <f t="shared" si="3"/>
        <v>2.7</v>
      </c>
    </row>
    <row r="11" spans="1:12" ht="21">
      <c r="A11" s="6" t="s">
        <v>20</v>
      </c>
      <c r="B11" s="7">
        <v>162</v>
      </c>
      <c r="C11" s="17">
        <f>D11/B11</f>
        <v>3.8765432098765431</v>
      </c>
      <c r="D11" s="5">
        <v>628</v>
      </c>
      <c r="E11" s="7">
        <v>5</v>
      </c>
      <c r="F11" s="7">
        <f t="shared" si="4"/>
        <v>3140</v>
      </c>
      <c r="G11" s="7">
        <f t="shared" si="1"/>
        <v>1884</v>
      </c>
      <c r="H11" s="7">
        <v>5</v>
      </c>
      <c r="I11" s="7">
        <f t="shared" si="2"/>
        <v>157</v>
      </c>
      <c r="J11" s="7">
        <v>1000</v>
      </c>
      <c r="K11" s="7">
        <f t="shared" si="3"/>
        <v>1.5699999999999999E-2</v>
      </c>
    </row>
    <row r="12" spans="1:12" ht="21">
      <c r="A12" s="6" t="s">
        <v>21</v>
      </c>
      <c r="B12" s="7">
        <v>300</v>
      </c>
      <c r="C12" s="7">
        <v>10</v>
      </c>
      <c r="D12" s="5">
        <f t="shared" si="0"/>
        <v>3000</v>
      </c>
      <c r="E12" s="7">
        <v>5</v>
      </c>
      <c r="F12" s="7">
        <f t="shared" si="4"/>
        <v>15000</v>
      </c>
      <c r="G12" s="7">
        <f t="shared" si="1"/>
        <v>9000</v>
      </c>
      <c r="H12" s="7">
        <v>5</v>
      </c>
      <c r="I12" s="7">
        <f t="shared" si="2"/>
        <v>750</v>
      </c>
      <c r="J12" s="7">
        <v>1000</v>
      </c>
      <c r="K12" s="7">
        <f t="shared" si="3"/>
        <v>7.4999999999999997E-2</v>
      </c>
    </row>
    <row r="13" spans="1:12" ht="21">
      <c r="A13" s="6" t="s">
        <v>22</v>
      </c>
      <c r="B13" s="7">
        <v>300</v>
      </c>
      <c r="C13" s="7">
        <v>10</v>
      </c>
      <c r="D13" s="7">
        <f t="shared" si="0"/>
        <v>3000</v>
      </c>
      <c r="E13" s="7">
        <v>5</v>
      </c>
      <c r="F13" s="7">
        <f t="shared" si="4"/>
        <v>15000</v>
      </c>
      <c r="G13" s="7">
        <f t="shared" si="1"/>
        <v>9000</v>
      </c>
      <c r="H13" s="7">
        <v>5</v>
      </c>
      <c r="I13" s="7">
        <f t="shared" si="2"/>
        <v>750</v>
      </c>
      <c r="J13" s="7">
        <v>1000</v>
      </c>
      <c r="K13" s="7">
        <f t="shared" si="3"/>
        <v>7.4999999999999997E-2</v>
      </c>
    </row>
    <row r="14" spans="1:12" ht="21">
      <c r="A14" s="6" t="s">
        <v>23</v>
      </c>
      <c r="B14" s="7">
        <v>600</v>
      </c>
      <c r="C14" s="7">
        <v>20</v>
      </c>
      <c r="D14" s="5">
        <f t="shared" si="0"/>
        <v>12000</v>
      </c>
      <c r="E14" s="7">
        <v>5</v>
      </c>
      <c r="F14" s="7">
        <f t="shared" si="4"/>
        <v>60000</v>
      </c>
      <c r="G14" s="7">
        <f t="shared" si="1"/>
        <v>36000</v>
      </c>
      <c r="H14" s="7">
        <v>5</v>
      </c>
      <c r="I14" s="7">
        <f t="shared" si="2"/>
        <v>3000</v>
      </c>
      <c r="J14" s="7">
        <v>1000</v>
      </c>
      <c r="K14" s="7">
        <f t="shared" si="3"/>
        <v>0.3</v>
      </c>
    </row>
    <row r="15" spans="1:12" ht="21">
      <c r="A15" s="6" t="s">
        <v>24</v>
      </c>
      <c r="B15" s="7">
        <v>600</v>
      </c>
      <c r="C15" s="7">
        <v>20</v>
      </c>
      <c r="D15" s="5">
        <f t="shared" si="0"/>
        <v>12000</v>
      </c>
      <c r="E15" s="7">
        <v>5</v>
      </c>
      <c r="F15" s="7">
        <f t="shared" si="4"/>
        <v>60000</v>
      </c>
      <c r="G15" s="7">
        <f t="shared" si="1"/>
        <v>36000</v>
      </c>
      <c r="H15" s="7">
        <v>5</v>
      </c>
      <c r="I15" s="7">
        <f t="shared" si="2"/>
        <v>3000</v>
      </c>
      <c r="J15" s="7">
        <v>1000</v>
      </c>
      <c r="K15" s="7">
        <f t="shared" si="3"/>
        <v>0.3</v>
      </c>
    </row>
    <row r="16" spans="1:12" ht="21">
      <c r="A16" s="6" t="s">
        <v>25</v>
      </c>
      <c r="B16" s="7">
        <v>827</v>
      </c>
      <c r="C16" s="7">
        <v>150</v>
      </c>
      <c r="D16" s="5">
        <f t="shared" si="0"/>
        <v>124050</v>
      </c>
      <c r="E16" s="7">
        <v>4</v>
      </c>
      <c r="F16" s="7">
        <f t="shared" si="4"/>
        <v>496200</v>
      </c>
      <c r="G16" s="7">
        <f t="shared" si="1"/>
        <v>297720</v>
      </c>
      <c r="H16" s="7">
        <v>5</v>
      </c>
      <c r="I16" s="7">
        <f t="shared" si="2"/>
        <v>24810</v>
      </c>
      <c r="J16" s="7">
        <v>1000</v>
      </c>
      <c r="K16" s="7">
        <f t="shared" si="3"/>
        <v>2.4809999999999999</v>
      </c>
    </row>
    <row r="17" spans="1:11" ht="21">
      <c r="A17" s="6" t="s">
        <v>26</v>
      </c>
      <c r="B17" s="7">
        <v>486</v>
      </c>
      <c r="C17" s="7">
        <v>150</v>
      </c>
      <c r="D17" s="5">
        <f t="shared" si="0"/>
        <v>72900</v>
      </c>
      <c r="E17" s="7">
        <v>4</v>
      </c>
      <c r="F17" s="7">
        <f t="shared" si="4"/>
        <v>291600</v>
      </c>
      <c r="G17" s="7">
        <f t="shared" si="1"/>
        <v>174960</v>
      </c>
      <c r="H17" s="7">
        <v>5</v>
      </c>
      <c r="I17" s="7">
        <f t="shared" si="2"/>
        <v>14580</v>
      </c>
      <c r="J17" s="7">
        <v>1000</v>
      </c>
      <c r="K17" s="7">
        <f t="shared" si="3"/>
        <v>1.458</v>
      </c>
    </row>
    <row r="18" spans="1:11" ht="21">
      <c r="A18" s="6" t="s">
        <v>27</v>
      </c>
      <c r="B18" s="7">
        <v>521</v>
      </c>
      <c r="C18" s="7">
        <v>150</v>
      </c>
      <c r="D18" s="5">
        <f t="shared" si="0"/>
        <v>78150</v>
      </c>
      <c r="E18" s="7">
        <v>4</v>
      </c>
      <c r="F18" s="7">
        <f t="shared" si="4"/>
        <v>312600</v>
      </c>
      <c r="G18" s="7">
        <f t="shared" si="1"/>
        <v>187560</v>
      </c>
      <c r="H18" s="7">
        <v>5</v>
      </c>
      <c r="I18" s="7">
        <f t="shared" si="2"/>
        <v>15630</v>
      </c>
      <c r="J18" s="7">
        <v>1000</v>
      </c>
      <c r="K18" s="7">
        <f t="shared" si="3"/>
        <v>1.5629999999999999</v>
      </c>
    </row>
    <row r="19" spans="1:11" ht="21">
      <c r="B19" s="5"/>
      <c r="C19" s="5"/>
      <c r="E19" s="7"/>
      <c r="F19" s="7"/>
      <c r="G19" s="7"/>
      <c r="H19" s="7"/>
      <c r="I19" s="7"/>
      <c r="J19" s="7"/>
      <c r="K19" s="7"/>
    </row>
    <row r="20" spans="1:11" ht="21">
      <c r="E20" s="7"/>
      <c r="F20" s="7"/>
      <c r="G20" s="7"/>
      <c r="H20" s="7"/>
      <c r="I20" s="7"/>
      <c r="J20" s="7"/>
      <c r="K20" s="20">
        <f>SUM(K2:K19)</f>
        <v>17.27216</v>
      </c>
    </row>
  </sheetData>
  <autoFilter ref="A1:L18" xr:uid="{68C4DC9B-C7EB-4E9D-BC32-606066ADB7F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opLeftCell="D1" workbookViewId="0">
      <pane ySplit="1" topLeftCell="A2" activePane="bottomLeft" state="frozen"/>
      <selection pane="bottomLeft" sqref="A1:M20"/>
    </sheetView>
  </sheetViews>
  <sheetFormatPr baseColWidth="10" defaultColWidth="8.83203125" defaultRowHeight="15" customHeight="1"/>
  <cols>
    <col min="1" max="1" width="29.83203125" bestFit="1" customWidth="1"/>
    <col min="2" max="2" width="16.83203125" bestFit="1" customWidth="1"/>
    <col min="3" max="3" width="24.5" bestFit="1" customWidth="1"/>
    <col min="4" max="4" width="25.1640625" bestFit="1" customWidth="1"/>
    <col min="5" max="5" width="26.33203125" bestFit="1" customWidth="1"/>
    <col min="6" max="6" width="20.5" bestFit="1" customWidth="1"/>
    <col min="7" max="7" width="17.5" bestFit="1" customWidth="1"/>
    <col min="8" max="8" width="19.83203125" bestFit="1" customWidth="1"/>
    <col min="9" max="9" width="16.83203125" bestFit="1" customWidth="1"/>
    <col min="10" max="10" width="19.6640625" bestFit="1" customWidth="1"/>
    <col min="11" max="11" width="23.33203125" style="9" bestFit="1" customWidth="1"/>
    <col min="12" max="12" width="51.6640625" bestFit="1" customWidth="1"/>
  </cols>
  <sheetData>
    <row r="1" spans="1:12" ht="21">
      <c r="A1" s="1" t="s">
        <v>0</v>
      </c>
      <c r="B1" s="1" t="s">
        <v>28</v>
      </c>
      <c r="C1" s="1" t="s">
        <v>29</v>
      </c>
      <c r="D1" s="1" t="s">
        <v>30</v>
      </c>
      <c r="E1" s="1" t="s">
        <v>3</v>
      </c>
      <c r="F1" s="1" t="s">
        <v>31</v>
      </c>
      <c r="G1" s="1" t="s">
        <v>5</v>
      </c>
      <c r="H1" s="1" t="s">
        <v>6</v>
      </c>
      <c r="I1" s="1" t="s">
        <v>7</v>
      </c>
      <c r="J1" s="1" t="s">
        <v>8</v>
      </c>
      <c r="K1" s="8" t="s">
        <v>9</v>
      </c>
      <c r="L1" s="1" t="s">
        <v>10</v>
      </c>
    </row>
    <row r="2" spans="1:12" ht="21">
      <c r="A2" s="2" t="s">
        <v>11</v>
      </c>
      <c r="B2" s="2">
        <v>25</v>
      </c>
      <c r="C2" s="2">
        <v>1500</v>
      </c>
      <c r="D2" s="2">
        <v>37500</v>
      </c>
      <c r="E2" s="2">
        <v>8</v>
      </c>
      <c r="F2" s="2">
        <f>E2*D2</f>
        <v>300000</v>
      </c>
      <c r="G2" s="2">
        <f>F2*0.6</f>
        <v>180000</v>
      </c>
      <c r="H2" s="2">
        <v>5</v>
      </c>
      <c r="I2" s="2">
        <f>H2*G2/60</f>
        <v>15000</v>
      </c>
      <c r="J2" s="2">
        <v>1000</v>
      </c>
      <c r="K2" s="10">
        <f>I2*J2/10000000</f>
        <v>1.5</v>
      </c>
      <c r="L2" s="2" t="s">
        <v>32</v>
      </c>
    </row>
    <row r="3" spans="1:12" ht="21">
      <c r="A3" s="2" t="s">
        <v>12</v>
      </c>
      <c r="B3" s="2">
        <v>25</v>
      </c>
      <c r="C3" s="2">
        <v>500</v>
      </c>
      <c r="D3" s="2">
        <v>12500</v>
      </c>
      <c r="E3" s="2">
        <v>6</v>
      </c>
      <c r="F3" s="2">
        <f t="shared" ref="F3:F18" si="0">E3*D3</f>
        <v>75000</v>
      </c>
      <c r="G3" s="2">
        <f>F3*0.6</f>
        <v>45000</v>
      </c>
      <c r="H3" s="2">
        <v>5</v>
      </c>
      <c r="I3" s="2">
        <f t="shared" ref="I3:I18" si="1">H3*G3/60</f>
        <v>3750</v>
      </c>
      <c r="J3" s="2">
        <v>1000</v>
      </c>
      <c r="K3" s="10">
        <f t="shared" ref="K3:K18" si="2">I3*J3/10000000</f>
        <v>0.375</v>
      </c>
      <c r="L3" s="2" t="s">
        <v>33</v>
      </c>
    </row>
    <row r="4" spans="1:12" ht="21">
      <c r="A4" s="2" t="s">
        <v>13</v>
      </c>
      <c r="B4" s="2">
        <v>25</v>
      </c>
      <c r="C4" s="2">
        <v>450</v>
      </c>
      <c r="D4" s="2">
        <v>11250</v>
      </c>
      <c r="E4" s="2">
        <v>6</v>
      </c>
      <c r="F4" s="2">
        <f t="shared" si="0"/>
        <v>67500</v>
      </c>
      <c r="G4" s="2">
        <f t="shared" ref="G4:G18" si="3">F4*0.6</f>
        <v>40500</v>
      </c>
      <c r="H4" s="2">
        <v>5</v>
      </c>
      <c r="I4" s="2">
        <f t="shared" si="1"/>
        <v>3375</v>
      </c>
      <c r="J4" s="2">
        <v>1000</v>
      </c>
      <c r="K4" s="10">
        <f t="shared" si="2"/>
        <v>0.33750000000000002</v>
      </c>
      <c r="L4" s="2" t="s">
        <v>34</v>
      </c>
    </row>
    <row r="5" spans="1:12" ht="21">
      <c r="A5" s="2" t="s">
        <v>14</v>
      </c>
      <c r="B5" s="2">
        <v>25</v>
      </c>
      <c r="C5" s="2">
        <v>400</v>
      </c>
      <c r="D5" s="2">
        <v>10000</v>
      </c>
      <c r="E5" s="2">
        <v>6</v>
      </c>
      <c r="F5" s="2">
        <f t="shared" si="0"/>
        <v>60000</v>
      </c>
      <c r="G5" s="2">
        <f t="shared" si="3"/>
        <v>36000</v>
      </c>
      <c r="H5" s="2">
        <v>5</v>
      </c>
      <c r="I5" s="2">
        <f t="shared" si="1"/>
        <v>3000</v>
      </c>
      <c r="J5" s="2">
        <v>1000</v>
      </c>
      <c r="K5" s="10">
        <f t="shared" si="2"/>
        <v>0.3</v>
      </c>
      <c r="L5" s="2" t="s">
        <v>35</v>
      </c>
    </row>
    <row r="6" spans="1:12" ht="21">
      <c r="A6" s="2" t="s">
        <v>15</v>
      </c>
      <c r="B6" s="2">
        <v>25</v>
      </c>
      <c r="C6" s="2">
        <v>250</v>
      </c>
      <c r="D6" s="2">
        <v>6250</v>
      </c>
      <c r="E6" s="2">
        <v>5</v>
      </c>
      <c r="F6" s="2">
        <f t="shared" si="0"/>
        <v>31250</v>
      </c>
      <c r="G6" s="2">
        <f t="shared" si="3"/>
        <v>18750</v>
      </c>
      <c r="H6" s="2">
        <v>5</v>
      </c>
      <c r="I6" s="11">
        <f t="shared" si="1"/>
        <v>1562.5</v>
      </c>
      <c r="J6" s="2">
        <v>1000</v>
      </c>
      <c r="K6" s="10">
        <f t="shared" si="2"/>
        <v>0.15625</v>
      </c>
      <c r="L6" s="2" t="s">
        <v>36</v>
      </c>
    </row>
    <row r="7" spans="1:12" ht="21">
      <c r="A7" s="2" t="s">
        <v>16</v>
      </c>
      <c r="B7" s="2">
        <v>25</v>
      </c>
      <c r="C7" s="2">
        <v>500</v>
      </c>
      <c r="D7" s="2">
        <v>6250</v>
      </c>
      <c r="E7" s="2">
        <v>5</v>
      </c>
      <c r="F7" s="2">
        <f t="shared" si="0"/>
        <v>31250</v>
      </c>
      <c r="G7" s="2">
        <f t="shared" si="3"/>
        <v>18750</v>
      </c>
      <c r="H7" s="2">
        <v>5</v>
      </c>
      <c r="I7" s="11">
        <f t="shared" si="1"/>
        <v>1562.5</v>
      </c>
      <c r="J7" s="2">
        <v>1000</v>
      </c>
      <c r="K7" s="10">
        <f t="shared" si="2"/>
        <v>0.15625</v>
      </c>
      <c r="L7" s="2" t="s">
        <v>37</v>
      </c>
    </row>
    <row r="8" spans="1:12" ht="21">
      <c r="A8" s="2" t="s">
        <v>17</v>
      </c>
      <c r="B8" s="2">
        <v>25</v>
      </c>
      <c r="C8" s="2">
        <v>300</v>
      </c>
      <c r="D8" s="2">
        <v>7500</v>
      </c>
      <c r="E8" s="2">
        <v>5</v>
      </c>
      <c r="F8" s="2">
        <f t="shared" si="0"/>
        <v>37500</v>
      </c>
      <c r="G8" s="2">
        <f t="shared" si="3"/>
        <v>22500</v>
      </c>
      <c r="H8" s="2">
        <v>5</v>
      </c>
      <c r="I8" s="11">
        <f t="shared" si="1"/>
        <v>1875</v>
      </c>
      <c r="J8" s="2">
        <v>1000</v>
      </c>
      <c r="K8" s="10">
        <f t="shared" si="2"/>
        <v>0.1875</v>
      </c>
      <c r="L8" s="2" t="s">
        <v>38</v>
      </c>
    </row>
    <row r="9" spans="1:12" ht="21">
      <c r="A9" s="2" t="s">
        <v>18</v>
      </c>
      <c r="B9" s="2">
        <v>25</v>
      </c>
      <c r="C9" s="2">
        <v>350</v>
      </c>
      <c r="D9" s="2">
        <v>8750</v>
      </c>
      <c r="E9" s="2">
        <v>5</v>
      </c>
      <c r="F9" s="2">
        <f t="shared" si="0"/>
        <v>43750</v>
      </c>
      <c r="G9" s="2">
        <f t="shared" si="3"/>
        <v>26250</v>
      </c>
      <c r="H9" s="2">
        <v>5</v>
      </c>
      <c r="I9" s="11">
        <f t="shared" si="1"/>
        <v>2187.5</v>
      </c>
      <c r="J9" s="2">
        <v>1000</v>
      </c>
      <c r="K9" s="10">
        <f t="shared" si="2"/>
        <v>0.21875</v>
      </c>
      <c r="L9" s="2" t="s">
        <v>39</v>
      </c>
    </row>
    <row r="10" spans="1:12" ht="21">
      <c r="A10" s="2" t="s">
        <v>19</v>
      </c>
      <c r="B10" s="2">
        <v>25</v>
      </c>
      <c r="C10" s="2">
        <v>400</v>
      </c>
      <c r="D10" s="2">
        <v>10000</v>
      </c>
      <c r="E10" s="2">
        <v>6</v>
      </c>
      <c r="F10" s="2">
        <f t="shared" si="0"/>
        <v>60000</v>
      </c>
      <c r="G10" s="2">
        <f t="shared" si="3"/>
        <v>36000</v>
      </c>
      <c r="H10" s="2">
        <v>5</v>
      </c>
      <c r="I10" s="2">
        <f t="shared" si="1"/>
        <v>3000</v>
      </c>
      <c r="J10" s="2">
        <v>1000</v>
      </c>
      <c r="K10" s="10">
        <f t="shared" si="2"/>
        <v>0.3</v>
      </c>
      <c r="L10" s="2" t="s">
        <v>40</v>
      </c>
    </row>
    <row r="11" spans="1:12" ht="21">
      <c r="A11" s="2" t="s">
        <v>20</v>
      </c>
      <c r="B11" s="2">
        <v>25</v>
      </c>
      <c r="C11" s="2">
        <v>350</v>
      </c>
      <c r="D11" s="2">
        <v>8750</v>
      </c>
      <c r="E11" s="2">
        <v>5</v>
      </c>
      <c r="F11" s="2">
        <f t="shared" si="0"/>
        <v>43750</v>
      </c>
      <c r="G11" s="2">
        <f t="shared" si="3"/>
        <v>26250</v>
      </c>
      <c r="H11" s="2">
        <v>5</v>
      </c>
      <c r="I11" s="11">
        <f t="shared" si="1"/>
        <v>2187.5</v>
      </c>
      <c r="J11" s="2">
        <v>1000</v>
      </c>
      <c r="K11" s="10">
        <f t="shared" si="2"/>
        <v>0.21875</v>
      </c>
      <c r="L11" s="2" t="s">
        <v>41</v>
      </c>
    </row>
    <row r="12" spans="1:12" ht="21">
      <c r="A12" s="2" t="s">
        <v>21</v>
      </c>
      <c r="B12" s="2">
        <v>25</v>
      </c>
      <c r="C12" s="2">
        <v>200</v>
      </c>
      <c r="D12" s="2">
        <v>5000</v>
      </c>
      <c r="E12" s="2">
        <v>5</v>
      </c>
      <c r="F12" s="2">
        <f t="shared" si="0"/>
        <v>25000</v>
      </c>
      <c r="G12" s="2">
        <f t="shared" si="3"/>
        <v>15000</v>
      </c>
      <c r="H12" s="2">
        <v>5</v>
      </c>
      <c r="I12" s="2">
        <f t="shared" si="1"/>
        <v>1250</v>
      </c>
      <c r="J12" s="2">
        <v>1000</v>
      </c>
      <c r="K12" s="10">
        <f t="shared" si="2"/>
        <v>0.125</v>
      </c>
      <c r="L12" s="2" t="s">
        <v>42</v>
      </c>
    </row>
    <row r="13" spans="1:12" ht="21">
      <c r="A13" s="2" t="s">
        <v>22</v>
      </c>
      <c r="B13" s="2">
        <v>25</v>
      </c>
      <c r="C13" s="2">
        <v>200</v>
      </c>
      <c r="D13" s="2">
        <v>5000</v>
      </c>
      <c r="E13" s="2">
        <v>5</v>
      </c>
      <c r="F13" s="2">
        <f t="shared" si="0"/>
        <v>25000</v>
      </c>
      <c r="G13" s="2">
        <f t="shared" si="3"/>
        <v>15000</v>
      </c>
      <c r="H13" s="2">
        <v>5</v>
      </c>
      <c r="I13" s="2">
        <f t="shared" si="1"/>
        <v>1250</v>
      </c>
      <c r="J13" s="2">
        <v>1000</v>
      </c>
      <c r="K13" s="10">
        <f t="shared" si="2"/>
        <v>0.125</v>
      </c>
      <c r="L13" s="2" t="s">
        <v>43</v>
      </c>
    </row>
    <row r="14" spans="1:12" ht="21">
      <c r="A14" s="2" t="s">
        <v>23</v>
      </c>
      <c r="B14" s="2">
        <v>25</v>
      </c>
      <c r="C14" s="2">
        <v>300</v>
      </c>
      <c r="D14" s="2">
        <v>7500</v>
      </c>
      <c r="E14" s="2">
        <v>5</v>
      </c>
      <c r="F14" s="2">
        <f t="shared" si="0"/>
        <v>37500</v>
      </c>
      <c r="G14" s="2">
        <f t="shared" si="3"/>
        <v>22500</v>
      </c>
      <c r="H14" s="2">
        <v>5</v>
      </c>
      <c r="I14" s="2">
        <f t="shared" si="1"/>
        <v>1875</v>
      </c>
      <c r="J14" s="2">
        <v>1000</v>
      </c>
      <c r="K14" s="10">
        <f t="shared" si="2"/>
        <v>0.1875</v>
      </c>
      <c r="L14" s="2" t="s">
        <v>44</v>
      </c>
    </row>
    <row r="15" spans="1:12" ht="21">
      <c r="A15" s="2" t="s">
        <v>24</v>
      </c>
      <c r="B15" s="2">
        <v>25</v>
      </c>
      <c r="C15" s="2">
        <v>250</v>
      </c>
      <c r="D15" s="2">
        <v>6250</v>
      </c>
      <c r="E15" s="2">
        <v>5</v>
      </c>
      <c r="F15" s="2">
        <f t="shared" si="0"/>
        <v>31250</v>
      </c>
      <c r="G15" s="2">
        <f t="shared" si="3"/>
        <v>18750</v>
      </c>
      <c r="H15" s="2">
        <v>5</v>
      </c>
      <c r="I15" s="11">
        <f t="shared" si="1"/>
        <v>1562.5</v>
      </c>
      <c r="J15" s="2">
        <v>1000</v>
      </c>
      <c r="K15" s="10">
        <f t="shared" si="2"/>
        <v>0.15625</v>
      </c>
      <c r="L15" s="2" t="s">
        <v>45</v>
      </c>
    </row>
    <row r="16" spans="1:12" ht="21">
      <c r="A16" s="2" t="s">
        <v>25</v>
      </c>
      <c r="B16" s="2">
        <v>25</v>
      </c>
      <c r="C16" s="2">
        <v>150</v>
      </c>
      <c r="D16" s="2">
        <v>3750</v>
      </c>
      <c r="E16" s="2">
        <v>4</v>
      </c>
      <c r="F16" s="2">
        <f t="shared" si="0"/>
        <v>15000</v>
      </c>
      <c r="G16" s="2">
        <f t="shared" si="3"/>
        <v>9000</v>
      </c>
      <c r="H16" s="2">
        <v>5</v>
      </c>
      <c r="I16" s="2">
        <f t="shared" si="1"/>
        <v>750</v>
      </c>
      <c r="J16" s="2">
        <v>1000</v>
      </c>
      <c r="K16" s="10">
        <f t="shared" si="2"/>
        <v>7.4999999999999997E-2</v>
      </c>
      <c r="L16" s="2" t="s">
        <v>46</v>
      </c>
    </row>
    <row r="17" spans="1:12" ht="21">
      <c r="A17" s="2" t="s">
        <v>26</v>
      </c>
      <c r="B17" s="2">
        <v>25</v>
      </c>
      <c r="C17" s="2">
        <v>125</v>
      </c>
      <c r="D17" s="2">
        <v>3125</v>
      </c>
      <c r="E17" s="2">
        <v>4</v>
      </c>
      <c r="F17" s="2">
        <f t="shared" si="0"/>
        <v>12500</v>
      </c>
      <c r="G17" s="2">
        <f t="shared" si="3"/>
        <v>7500</v>
      </c>
      <c r="H17" s="2">
        <v>5</v>
      </c>
      <c r="I17" s="2">
        <f t="shared" si="1"/>
        <v>625</v>
      </c>
      <c r="J17" s="2">
        <v>1000</v>
      </c>
      <c r="K17" s="10">
        <f t="shared" si="2"/>
        <v>6.25E-2</v>
      </c>
      <c r="L17" s="2" t="s">
        <v>47</v>
      </c>
    </row>
    <row r="18" spans="1:12" ht="21">
      <c r="A18" s="2" t="s">
        <v>27</v>
      </c>
      <c r="B18" s="2">
        <v>25</v>
      </c>
      <c r="C18" s="2">
        <v>125</v>
      </c>
      <c r="D18" s="2">
        <v>3125</v>
      </c>
      <c r="E18" s="2">
        <v>4</v>
      </c>
      <c r="F18" s="2">
        <f t="shared" si="0"/>
        <v>12500</v>
      </c>
      <c r="G18" s="2">
        <f t="shared" si="3"/>
        <v>7500</v>
      </c>
      <c r="H18" s="2">
        <v>5</v>
      </c>
      <c r="I18" s="2">
        <f t="shared" si="1"/>
        <v>625</v>
      </c>
      <c r="J18" s="2">
        <v>1000</v>
      </c>
      <c r="K18" s="10">
        <f t="shared" si="2"/>
        <v>6.25E-2</v>
      </c>
      <c r="L18" s="2" t="s">
        <v>48</v>
      </c>
    </row>
    <row r="19" spans="1:12" ht="15" customHeight="1">
      <c r="K19" s="10"/>
    </row>
    <row r="20" spans="1:12" ht="21">
      <c r="I20" s="12">
        <f>SUM(I2:I18)</f>
        <v>45437.5</v>
      </c>
      <c r="J20" s="5"/>
      <c r="K20" s="13">
        <f>SUM(K2:K19)</f>
        <v>4.5437500000000002</v>
      </c>
      <c r="L20" s="14" t="s">
        <v>49</v>
      </c>
    </row>
    <row r="21" spans="1:12" ht="21">
      <c r="A21" s="3" t="s">
        <v>50</v>
      </c>
      <c r="I21" s="3"/>
      <c r="K21" s="10"/>
      <c r="L21" s="4"/>
    </row>
  </sheetData>
  <pageMargins left="0.75" right="0.75" top="1" bottom="1" header="0.5" footer="0.5"/>
  <pageSetup paperSize="9" orientation="portrait" r:id="rId1"/>
  <headerFooter>
    <oddHeader>&amp;C&amp;"Aptos"&amp;11&amp;K0000FF Classification - Internal&amp;1#_x000D_</oddHeader>
    <oddFooter>&amp;C_x000D_&amp;1#&amp;"Aptos"&amp;11&amp;K0000FF Classification -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17" sqref="C17"/>
    </sheetView>
  </sheetViews>
  <sheetFormatPr baseColWidth="10" defaultColWidth="8.83203125" defaultRowHeight="15"/>
  <cols>
    <col min="2" max="2" width="16" bestFit="1" customWidth="1"/>
    <col min="3" max="3" width="24.5" bestFit="1" customWidth="1"/>
  </cols>
  <sheetData>
    <row r="1" spans="1:3" ht="21">
      <c r="A1" s="3" t="s">
        <v>51</v>
      </c>
      <c r="B1" s="3" t="s">
        <v>28</v>
      </c>
      <c r="C1" s="3" t="s">
        <v>52</v>
      </c>
    </row>
    <row r="2" spans="1:3" ht="21">
      <c r="A2" s="2" t="s">
        <v>53</v>
      </c>
      <c r="B2" s="2">
        <v>50</v>
      </c>
      <c r="C2" s="2">
        <v>4.54</v>
      </c>
    </row>
    <row r="3" spans="1:3" ht="21">
      <c r="A3" s="2" t="s">
        <v>54</v>
      </c>
      <c r="B3" s="2">
        <v>100</v>
      </c>
      <c r="C3" s="2">
        <f>C2+C2</f>
        <v>9.08</v>
      </c>
    </row>
    <row r="4" spans="1:3" ht="21">
      <c r="A4" s="2" t="s">
        <v>55</v>
      </c>
      <c r="B4" s="2">
        <v>200</v>
      </c>
      <c r="C4" s="2">
        <f>C3+C2</f>
        <v>13.620000000000001</v>
      </c>
    </row>
    <row r="5" spans="1:3" ht="21">
      <c r="A5" s="2"/>
    </row>
  </sheetData>
  <pageMargins left="0.75" right="0.75" top="1" bottom="1" header="0.5" footer="0.5"/>
  <headerFooter>
    <oddHeader>&amp;C&amp;"Aptos"&amp;11&amp;K0000FF Classification - Internal&amp;1#_x000D_</oddHeader>
    <oddFooter>&amp;C_x000D_&amp;1#&amp;"Aptos"&amp;11&amp;K0000FF Classification -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D7" sqref="D7"/>
    </sheetView>
  </sheetViews>
  <sheetFormatPr baseColWidth="10" defaultColWidth="8.83203125" defaultRowHeight="15"/>
  <cols>
    <col min="1" max="1" width="13.5" bestFit="1" customWidth="1"/>
    <col min="2" max="2" width="30.5" bestFit="1" customWidth="1"/>
    <col min="3" max="4" width="22.5" bestFit="1" customWidth="1"/>
    <col min="5" max="5" width="61.5" bestFit="1" customWidth="1"/>
  </cols>
  <sheetData>
    <row r="1" spans="1:5" ht="21">
      <c r="A1" s="3" t="s">
        <v>56</v>
      </c>
      <c r="B1" s="3" t="s">
        <v>57</v>
      </c>
      <c r="C1" s="3" t="s">
        <v>58</v>
      </c>
      <c r="D1" s="3" t="s">
        <v>9</v>
      </c>
      <c r="E1" s="3" t="s">
        <v>10</v>
      </c>
    </row>
    <row r="2" spans="1:5" ht="21">
      <c r="A2" s="2" t="s">
        <v>59</v>
      </c>
      <c r="B2" s="2" t="s">
        <v>60</v>
      </c>
      <c r="C2" s="2" t="s">
        <v>61</v>
      </c>
      <c r="D2" s="2">
        <v>0.15</v>
      </c>
      <c r="E2" s="2" t="s">
        <v>62</v>
      </c>
    </row>
    <row r="3" spans="1:5" ht="21">
      <c r="A3" s="2" t="s">
        <v>63</v>
      </c>
      <c r="B3" s="2" t="s">
        <v>64</v>
      </c>
      <c r="C3" s="2" t="s">
        <v>65</v>
      </c>
      <c r="D3" s="2">
        <v>0.05</v>
      </c>
      <c r="E3" s="2" t="s">
        <v>66</v>
      </c>
    </row>
    <row r="4" spans="1:5" ht="21">
      <c r="A4" s="2" t="s">
        <v>67</v>
      </c>
      <c r="B4" s="2" t="s">
        <v>68</v>
      </c>
      <c r="C4" s="2" t="s">
        <v>61</v>
      </c>
      <c r="D4" s="2">
        <v>0.1</v>
      </c>
      <c r="E4" s="2" t="s">
        <v>69</v>
      </c>
    </row>
    <row r="5" spans="1:5" ht="21">
      <c r="A5" s="2" t="s">
        <v>70</v>
      </c>
      <c r="B5" s="2" t="s">
        <v>71</v>
      </c>
      <c r="C5" s="2" t="s">
        <v>72</v>
      </c>
      <c r="D5" s="2">
        <v>0.15</v>
      </c>
      <c r="E5" s="2" t="s">
        <v>73</v>
      </c>
    </row>
    <row r="6" spans="1:5" ht="21">
      <c r="A6" s="2" t="s">
        <v>74</v>
      </c>
      <c r="B6" s="2" t="s">
        <v>75</v>
      </c>
      <c r="C6" s="2" t="s">
        <v>65</v>
      </c>
      <c r="D6" s="2">
        <v>0.1</v>
      </c>
      <c r="E6" s="2" t="s">
        <v>76</v>
      </c>
    </row>
    <row r="7" spans="1:5" ht="21">
      <c r="D7" s="5">
        <f>SUM(D2:D6)</f>
        <v>0.55000000000000004</v>
      </c>
    </row>
  </sheetData>
  <pageMargins left="0.75" right="0.75" top="1" bottom="1" header="0.5" footer="0.5"/>
  <headerFooter>
    <oddHeader>&amp;C&amp;"Aptos"&amp;11&amp;K0000FF Classification - Internal&amp;1#_x000D_</oddHeader>
    <oddFooter>&amp;C_x000D_&amp;1#&amp;"Aptos"&amp;11&amp;K0000FF Classification -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sqref="A1:C6"/>
    </sheetView>
  </sheetViews>
  <sheetFormatPr baseColWidth="10" defaultColWidth="8.83203125" defaultRowHeight="15"/>
  <cols>
    <col min="1" max="1" width="22.5" bestFit="1" customWidth="1"/>
    <col min="2" max="2" width="11.1640625" bestFit="1" customWidth="1"/>
    <col min="3" max="3" width="48.5" bestFit="1" customWidth="1"/>
  </cols>
  <sheetData>
    <row r="1" spans="1:3" ht="21">
      <c r="A1" s="3" t="s">
        <v>77</v>
      </c>
      <c r="B1" s="3" t="s">
        <v>78</v>
      </c>
      <c r="C1" s="3" t="s">
        <v>10</v>
      </c>
    </row>
    <row r="2" spans="1:3" ht="21">
      <c r="A2" s="2" t="s">
        <v>7</v>
      </c>
      <c r="B2" s="11">
        <v>45437.5</v>
      </c>
      <c r="C2" s="2" t="s">
        <v>79</v>
      </c>
    </row>
    <row r="3" spans="1:3" ht="21">
      <c r="A3" s="2" t="s">
        <v>80</v>
      </c>
      <c r="B3" s="2">
        <v>1000</v>
      </c>
      <c r="C3" s="2" t="s">
        <v>81</v>
      </c>
    </row>
    <row r="4" spans="1:3" ht="21">
      <c r="A4" s="2" t="s">
        <v>9</v>
      </c>
      <c r="B4" s="2">
        <v>4.54</v>
      </c>
      <c r="C4" s="2" t="s">
        <v>82</v>
      </c>
    </row>
    <row r="5" spans="1:3" ht="21">
      <c r="A5" s="2" t="s">
        <v>83</v>
      </c>
      <c r="B5" s="2">
        <v>2000000</v>
      </c>
      <c r="C5" s="2" t="s">
        <v>84</v>
      </c>
    </row>
    <row r="6" spans="1:3" ht="21">
      <c r="A6" s="2" t="s">
        <v>85</v>
      </c>
      <c r="B6" s="2">
        <v>22.72</v>
      </c>
      <c r="C6" s="2" t="s">
        <v>86</v>
      </c>
    </row>
  </sheetData>
  <pageMargins left="0.75" right="0.75" top="1" bottom="1" header="0.5" footer="0.5"/>
  <headerFooter>
    <oddHeader>&amp;C&amp;"Aptos"&amp;11&amp;K0000FF Classification - Internal&amp;1#_x000D_</oddHeader>
    <oddFooter>&amp;C_x000D_&amp;1#&amp;"Aptos"&amp;11&amp;K0000FF Classification -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tabSelected="1" workbookViewId="0">
      <selection activeCell="H3" sqref="H3"/>
    </sheetView>
  </sheetViews>
  <sheetFormatPr baseColWidth="10" defaultColWidth="8.83203125" defaultRowHeight="15"/>
  <cols>
    <col min="1" max="1" width="29.1640625" bestFit="1" customWidth="1"/>
    <col min="2" max="4" width="11" bestFit="1" customWidth="1"/>
  </cols>
  <sheetData>
    <row r="1" spans="1:8" ht="21">
      <c r="A1" s="3" t="s">
        <v>77</v>
      </c>
      <c r="B1" s="3" t="s">
        <v>53</v>
      </c>
      <c r="C1" s="3" t="s">
        <v>54</v>
      </c>
      <c r="D1" s="3" t="s">
        <v>55</v>
      </c>
      <c r="E1" s="3" t="s">
        <v>89</v>
      </c>
      <c r="F1" s="3" t="s">
        <v>90</v>
      </c>
      <c r="G1" s="3" t="s">
        <v>91</v>
      </c>
      <c r="H1" s="3" t="s">
        <v>92</v>
      </c>
    </row>
    <row r="2" spans="1:8" ht="21">
      <c r="A2" s="2" t="s">
        <v>28</v>
      </c>
      <c r="B2" s="2">
        <v>25</v>
      </c>
      <c r="C2" s="2">
        <v>100</v>
      </c>
      <c r="D2" s="2">
        <v>200</v>
      </c>
      <c r="E2" s="2">
        <v>400</v>
      </c>
      <c r="F2" s="2">
        <v>500</v>
      </c>
      <c r="G2" s="2">
        <v>600</v>
      </c>
      <c r="H2" s="2">
        <v>800</v>
      </c>
    </row>
    <row r="3" spans="1:8" ht="21">
      <c r="A3" s="2" t="s">
        <v>52</v>
      </c>
      <c r="B3" s="2">
        <v>4.54</v>
      </c>
      <c r="C3" s="2">
        <f>B3*4</f>
        <v>18.16</v>
      </c>
      <c r="D3" s="2">
        <f>B3*8</f>
        <v>36.32</v>
      </c>
      <c r="E3" s="2">
        <f>D3*2</f>
        <v>72.64</v>
      </c>
      <c r="F3" s="2">
        <f>C3*5</f>
        <v>90.8</v>
      </c>
      <c r="G3" s="2">
        <f>C3*6</f>
        <v>108.96000000000001</v>
      </c>
      <c r="H3" s="2">
        <f>C3*8</f>
        <v>145.28</v>
      </c>
    </row>
    <row r="4" spans="1:8" ht="21">
      <c r="A4" s="2" t="s">
        <v>87</v>
      </c>
      <c r="B4" s="2">
        <v>4</v>
      </c>
      <c r="C4" s="2">
        <v>2</v>
      </c>
      <c r="D4" s="2">
        <v>2.2000000000000002</v>
      </c>
      <c r="E4" s="2">
        <v>2.2000000000000002</v>
      </c>
      <c r="F4" s="2">
        <v>2.2000000000000002</v>
      </c>
      <c r="G4" s="2">
        <v>2.2000000000000002</v>
      </c>
      <c r="H4" s="2">
        <v>2.2000000000000002</v>
      </c>
    </row>
    <row r="5" spans="1:8" ht="21">
      <c r="A5" s="2" t="s">
        <v>88</v>
      </c>
      <c r="B5" s="2">
        <f>B3-B4</f>
        <v>0.54</v>
      </c>
      <c r="C5" s="2">
        <f t="shared" ref="C5:D5" si="0">C3-C4</f>
        <v>16.16</v>
      </c>
      <c r="D5" s="2">
        <f t="shared" si="0"/>
        <v>34.119999999999997</v>
      </c>
      <c r="E5" s="2">
        <f>E3-E4</f>
        <v>70.44</v>
      </c>
      <c r="F5" s="2">
        <f>F3-F4</f>
        <v>88.6</v>
      </c>
      <c r="G5" s="2">
        <f>G3-G4</f>
        <v>106.76</v>
      </c>
      <c r="H5" s="2">
        <f>H3-H4</f>
        <v>143.08000000000001</v>
      </c>
    </row>
    <row r="6" spans="1:8" ht="21">
      <c r="A6" s="2"/>
      <c r="B6" s="2"/>
      <c r="C6" s="2"/>
      <c r="D6" s="2"/>
    </row>
    <row r="9" spans="1:8" ht="21">
      <c r="A9" s="2"/>
    </row>
  </sheetData>
  <pageMargins left="0.75" right="0.75" top="1" bottom="1" header="0.5" footer="0.5"/>
  <headerFooter>
    <oddHeader>&amp;C&amp;"Aptos"&amp;11&amp;K0000FF Classification - Internal&amp;1#_x000D_</oddHeader>
    <oddFooter>&amp;C_x000D_&amp;1#&amp;"Aptos"&amp;11&amp;K0000FF Classification - Internal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C45E153F28EE4787994493462BB723" ma:contentTypeVersion="12" ma:contentTypeDescription="Create a new document." ma:contentTypeScope="" ma:versionID="cc717bbd999d588741822980c3ad8145">
  <xsd:schema xmlns:xsd="http://www.w3.org/2001/XMLSchema" xmlns:xs="http://www.w3.org/2001/XMLSchema" xmlns:p="http://schemas.microsoft.com/office/2006/metadata/properties" xmlns:ns2="7b405d1f-d10b-4093-82f9-1855360715f6" xmlns:ns3="f9ef682c-7912-4780-84f4-a971df966cba" targetNamespace="http://schemas.microsoft.com/office/2006/metadata/properties" ma:root="true" ma:fieldsID="cb756d61f9318ee21e8beb465d11a9eb" ns2:_="" ns3:_="">
    <xsd:import namespace="7b405d1f-d10b-4093-82f9-1855360715f6"/>
    <xsd:import namespace="f9ef682c-7912-4780-84f4-a971df966c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05d1f-d10b-4093-82f9-1855360715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82e066-c8c7-45b9-bb03-520ac438c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ef682c-7912-4780-84f4-a971df966cb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d53ece-7e7d-4303-a71c-9444a71c63d4}" ma:internalName="TaxCatchAll" ma:showField="CatchAllData" ma:web="f9ef682c-7912-4780-84f4-a971df966c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ef682c-7912-4780-84f4-a971df966cba" xsi:nil="true"/>
    <lcf76f155ced4ddcb4097134ff3c332f xmlns="7b405d1f-d10b-4093-82f9-1855360715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FF6A95-94CC-4354-9C77-CD818EDE35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D08681-8533-4464-BCEB-02BE874F8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405d1f-d10b-4093-82f9-1855360715f6"/>
    <ds:schemaRef ds:uri="f9ef682c-7912-4780-84f4-a971df966c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0D1079-5B4B-49D4-ADDA-486E009CBEBA}">
  <ds:schemaRefs>
    <ds:schemaRef ds:uri="http://schemas.microsoft.com/office/2006/metadata/properties"/>
    <ds:schemaRef ds:uri="http://schemas.microsoft.com/office/infopath/2007/PartnerControls"/>
    <ds:schemaRef ds:uri="f9ef682c-7912-4780-84f4-a971df966cba"/>
    <ds:schemaRef ds:uri="7b405d1f-d10b-4093-82f9-1855360715f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FY 25 -26</vt:lpstr>
      <vt:lpstr>Framework_Master</vt:lpstr>
      <vt:lpstr>Scenarios</vt:lpstr>
      <vt:lpstr>Storage_Savings</vt:lpstr>
      <vt:lpstr>FTE_Savings</vt:lpstr>
      <vt:lpstr>Executive_Dashboard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Microsoft Office User</cp:lastModifiedBy>
  <cp:revision/>
  <dcterms:created xsi:type="dcterms:W3CDTF">2026-06-10T17:06:24Z</dcterms:created>
  <dcterms:modified xsi:type="dcterms:W3CDTF">2026-06-16T06:04:57Z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ba8fb0-bbb8-454c-aa98-661329b3f27f_Enabled">
    <vt:lpwstr>true</vt:lpwstr>
  </property>
  <property fmtid="{D5CDD505-2E9C-101B-9397-08002B2CF9AE}" pid="3" name="MSIP_Label_e3ba8fb0-bbb8-454c-aa98-661329b3f27f_SetDate">
    <vt:lpwstr>2026-06-10T17:17:11Z</vt:lpwstr>
  </property>
  <property fmtid="{D5CDD505-2E9C-101B-9397-08002B2CF9AE}" pid="4" name="MSIP_Label_e3ba8fb0-bbb8-454c-aa98-661329b3f27f_Method">
    <vt:lpwstr>Privileged</vt:lpwstr>
  </property>
  <property fmtid="{D5CDD505-2E9C-101B-9397-08002B2CF9AE}" pid="5" name="MSIP_Label_e3ba8fb0-bbb8-454c-aa98-661329b3f27f_Name">
    <vt:lpwstr>Internal (General)!</vt:lpwstr>
  </property>
  <property fmtid="{D5CDD505-2E9C-101B-9397-08002B2CF9AE}" pid="6" name="MSIP_Label_e3ba8fb0-bbb8-454c-aa98-661329b3f27f_SiteId">
    <vt:lpwstr>827fd022-05a6-4e57-be9c-cc069b6ae62d</vt:lpwstr>
  </property>
  <property fmtid="{D5CDD505-2E9C-101B-9397-08002B2CF9AE}" pid="7" name="MSIP_Label_e3ba8fb0-bbb8-454c-aa98-661329b3f27f_ActionId">
    <vt:lpwstr>d4052296-c78a-4c6e-a8db-177c3c5c2564</vt:lpwstr>
  </property>
  <property fmtid="{D5CDD505-2E9C-101B-9397-08002B2CF9AE}" pid="8" name="MSIP_Label_e3ba8fb0-bbb8-454c-aa98-661329b3f27f_ContentBits">
    <vt:lpwstr>3</vt:lpwstr>
  </property>
  <property fmtid="{D5CDD505-2E9C-101B-9397-08002B2CF9AE}" pid="9" name="MSIP_Label_e3ba8fb0-bbb8-454c-aa98-661329b3f27f_Tag">
    <vt:lpwstr>10, 0, 1, 1</vt:lpwstr>
  </property>
  <property fmtid="{D5CDD505-2E9C-101B-9397-08002B2CF9AE}" pid="10" name="ContentTypeId">
    <vt:lpwstr>0x010100CEC45E153F28EE4787994493462BB723</vt:lpwstr>
  </property>
  <property fmtid="{D5CDD505-2E9C-101B-9397-08002B2CF9AE}" pid="11" name="MediaServiceImageTags">
    <vt:lpwstr/>
  </property>
</Properties>
</file>