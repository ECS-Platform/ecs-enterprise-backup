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/>
  <mc:AlternateContent xmlns:mc="http://schemas.openxmlformats.org/markup-compatibility/2006">
    <mc:Choice Requires="x15">
      <x15ac:absPath xmlns:x15ac="http://schemas.microsoft.com/office/spreadsheetml/2010/11/ac" url="/Users/nikhil/Documents/ECS/"/>
    </mc:Choice>
  </mc:AlternateContent>
  <xr:revisionPtr revIDLastSave="0" documentId="13_ncr:1_{CDB00F99-B4E8-6545-B353-041FEB9D7EA8}" xr6:coauthVersionLast="45" xr6:coauthVersionMax="45" xr10:uidLastSave="{00000000-0000-0000-0000-000000000000}"/>
  <bookViews>
    <workbookView xWindow="0" yWindow="660" windowWidth="29400" windowHeight="16660" activeTab="4" xr2:uid="{00000000-000D-0000-FFFF-FFFF00000000}"/>
  </bookViews>
  <sheets>
    <sheet name="Framework_Master" sheetId="1" r:id="rId1"/>
    <sheet name="Scenarios" sheetId="2" r:id="rId2"/>
    <sheet name="Storage_Savings" sheetId="3" r:id="rId3"/>
    <sheet name="FTE_Savings" sheetId="4" r:id="rId4"/>
    <sheet name="Executive_Dashboard" sheetId="5" r:id="rId5"/>
  </sheets>
  <definedNames>
    <definedName name="_xlchart.v2.0" hidden="1">Executive_Dashboard!$A$2:$A$8</definedName>
    <definedName name="_xlchart.v2.1" hidden="1">Executive_Dashboard!$B$1</definedName>
    <definedName name="_xlchart.v2.10" hidden="1">Executive_Dashboard!$F$2:$F$8</definedName>
    <definedName name="_xlchart.v2.11" hidden="1">Executive_Dashboard!$A$2</definedName>
    <definedName name="_xlchart.v2.12" hidden="1">Executive_Dashboard!$A$3</definedName>
    <definedName name="_xlchart.v2.13" hidden="1">Executive_Dashboard!$A$4</definedName>
    <definedName name="_xlchart.v2.14" hidden="1">Executive_Dashboard!$A$5</definedName>
    <definedName name="_xlchart.v2.15" hidden="1">Executive_Dashboard!$A$6</definedName>
    <definedName name="_xlchart.v2.16" hidden="1">Executive_Dashboard!$A$7</definedName>
    <definedName name="_xlchart.v2.17" hidden="1">Executive_Dashboard!$A$8</definedName>
    <definedName name="_xlchart.v2.18" hidden="1">Executive_Dashboard!$B$1:$F$1</definedName>
    <definedName name="_xlchart.v2.19" hidden="1">Executive_Dashboard!$B$2:$F$2</definedName>
    <definedName name="_xlchart.v2.2" hidden="1">Executive_Dashboard!$B$2:$B$8</definedName>
    <definedName name="_xlchart.v2.20" hidden="1">Executive_Dashboard!$B$3:$F$3</definedName>
    <definedName name="_xlchart.v2.21" hidden="1">Executive_Dashboard!$B$4:$F$4</definedName>
    <definedName name="_xlchart.v2.22" hidden="1">Executive_Dashboard!$B$5:$F$5</definedName>
    <definedName name="_xlchart.v2.23" hidden="1">Executive_Dashboard!$B$6:$F$6</definedName>
    <definedName name="_xlchart.v2.24" hidden="1">Executive_Dashboard!$B$7:$F$7</definedName>
    <definedName name="_xlchart.v2.25" hidden="1">Executive_Dashboard!$B$8:$F$8</definedName>
    <definedName name="_xlchart.v2.3" hidden="1">Executive_Dashboard!$C$1</definedName>
    <definedName name="_xlchart.v2.4" hidden="1">Executive_Dashboard!$C$2:$C$8</definedName>
    <definedName name="_xlchart.v2.5" hidden="1">Executive_Dashboard!$D$1</definedName>
    <definedName name="_xlchart.v2.6" hidden="1">Executive_Dashboard!$D$2:$D$8</definedName>
    <definedName name="_xlchart.v2.7" hidden="1">Executive_Dashboard!$E$1</definedName>
    <definedName name="_xlchart.v2.8" hidden="1">Executive_Dashboard!$E$2:$E$8</definedName>
    <definedName name="_xlchart.v2.9" hidden="1">Executive_Dashboard!$F$1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" i="5" l="1"/>
  <c r="E7" i="5"/>
  <c r="D7" i="5"/>
  <c r="C7" i="5"/>
  <c r="F6" i="5"/>
  <c r="E6" i="5"/>
  <c r="D6" i="5"/>
  <c r="C6" i="5"/>
  <c r="F4" i="5"/>
  <c r="E4" i="5"/>
  <c r="D4" i="5"/>
  <c r="C4" i="5"/>
  <c r="D7" i="3" l="1"/>
  <c r="J20" i="1"/>
  <c r="H20" i="1"/>
</calcChain>
</file>

<file path=xl/sharedStrings.xml><?xml version="1.0" encoding="utf-8"?>
<sst xmlns="http://schemas.openxmlformats.org/spreadsheetml/2006/main" count="115" uniqueCount="99">
  <si>
    <t>Framework</t>
  </si>
  <si>
    <t>Applications</t>
  </si>
  <si>
    <t>Observations/App</t>
  </si>
  <si>
    <t>Total Observations</t>
  </si>
  <si>
    <t>Emails/Observation</t>
  </si>
  <si>
    <t>Emails Saved</t>
  </si>
  <si>
    <t>Minutes/Email</t>
  </si>
  <si>
    <t>Hours Saved</t>
  </si>
  <si>
    <t>Cost/Hour (Rs)</t>
  </si>
  <si>
    <t>Annual Saving (Cr)</t>
  </si>
  <si>
    <t>Justification</t>
  </si>
  <si>
    <t>VAPT</t>
  </si>
  <si>
    <t>37500 observations x 8 emails</t>
  </si>
  <si>
    <t>PCI DSS</t>
  </si>
  <si>
    <t>Evidence reuse across controls</t>
  </si>
  <si>
    <t>DPSC</t>
  </si>
  <si>
    <t>Compliance evidence automation</t>
  </si>
  <si>
    <t>CSITE</t>
  </si>
  <si>
    <t>Cyber examination evidence automation</t>
  </si>
  <si>
    <t>ITPP</t>
  </si>
  <si>
    <t>Policy compliance evidence automation</t>
  </si>
  <si>
    <t>ITDRM</t>
  </si>
  <si>
    <t>Digital risk review automation</t>
  </si>
  <si>
    <t>MBSS</t>
  </si>
  <si>
    <t>Mobile Banking Security Standard</t>
  </si>
  <si>
    <t>ASST</t>
  </si>
  <si>
    <t>Application Security Standard</t>
  </si>
  <si>
    <t>IS Audit</t>
  </si>
  <si>
    <t>IS audit evidence handling</t>
  </si>
  <si>
    <t>Internal Audit</t>
  </si>
  <si>
    <t>Audit evidence reuse</t>
  </si>
  <si>
    <t>TPRE</t>
  </si>
  <si>
    <t>Third-party assessment evidence</t>
  </si>
  <si>
    <t>TPRM</t>
  </si>
  <si>
    <t>Vendor risk evidence management</t>
  </si>
  <si>
    <t>Prisma Alerts</t>
  </si>
  <si>
    <t>Cloud alert evidence tracking</t>
  </si>
  <si>
    <t>Cloud Security Reviews</t>
  </si>
  <si>
    <t>Cloud compliance reviews</t>
  </si>
  <si>
    <t>OS Baselining</t>
  </si>
  <si>
    <t>OS baseline validation</t>
  </si>
  <si>
    <t>DB Baselining</t>
  </si>
  <si>
    <t>Database baseline validation</t>
  </si>
  <si>
    <t>Middleware Baselining</t>
  </si>
  <si>
    <t>Middleware baseline validation</t>
  </si>
  <si>
    <t>Rounded Total</t>
  </si>
  <si>
    <t>Year</t>
  </si>
  <si>
    <t>Annual Savings (Cr)</t>
  </si>
  <si>
    <t>3-Year Cumulative Savings (Cr)</t>
  </si>
  <si>
    <t>Year 1</t>
  </si>
  <si>
    <t>Year 2</t>
  </si>
  <si>
    <t>Year 3</t>
  </si>
  <si>
    <t>Area</t>
  </si>
  <si>
    <t>Volume Assumption</t>
  </si>
  <si>
    <t>Storage Reduction</t>
  </si>
  <si>
    <t>SharePoint</t>
  </si>
  <si>
    <t>200,000 files @5MB</t>
  </si>
  <si>
    <t>~1 TB</t>
  </si>
  <si>
    <t>Evidence stored once in ECS instead of multiple copies</t>
  </si>
  <si>
    <t>Teams</t>
  </si>
  <si>
    <t>100,000 files/year</t>
  </si>
  <si>
    <t>~500 GB</t>
  </si>
  <si>
    <t>Links replace repeated sharing</t>
  </si>
  <si>
    <t>Exchange</t>
  </si>
  <si>
    <t>200,000 attachments/year</t>
  </si>
  <si>
    <t>Reduced mailbox growth</t>
  </si>
  <si>
    <t>Backups</t>
  </si>
  <si>
    <t>All repositories</t>
  </si>
  <si>
    <t>~2 TB</t>
  </si>
  <si>
    <t>Centralized backup footprint</t>
  </si>
  <si>
    <t>File Servers</t>
  </si>
  <si>
    <t>100,000 files</t>
  </si>
  <si>
    <t>Duplicate audit folders eliminated</t>
  </si>
  <si>
    <t>Metric</t>
  </si>
  <si>
    <t>Value</t>
  </si>
  <si>
    <t>Rounded from framework calculations</t>
  </si>
  <si>
    <t>Cost per Hour (Rs)</t>
  </si>
  <si>
    <t>₹20L salary / 2000 hours</t>
  </si>
  <si>
    <t>Average Salary (Rs)</t>
  </si>
  <si>
    <t>Loaded employee cost</t>
  </si>
  <si>
    <t>FTE Equivalent</t>
  </si>
  <si>
    <t>90000/2000</t>
  </si>
  <si>
    <t>Cumulative Savings (Cr)</t>
  </si>
  <si>
    <t>ECS Cost (Cr)</t>
  </si>
  <si>
    <t>Cumulative Cost (Cr)</t>
  </si>
  <si>
    <t>Net Benefit (Cr)</t>
  </si>
  <si>
    <t>Payback Status</t>
  </si>
  <si>
    <t>Achieved</t>
  </si>
  <si>
    <t>9cr annual savings for 9000 hrs.</t>
  </si>
  <si>
    <t>Rounded executive number (90k*1000)</t>
  </si>
  <si>
    <t>Year 5</t>
  </si>
  <si>
    <t>Year 4</t>
  </si>
  <si>
    <t>REMARKS</t>
  </si>
  <si>
    <t>50 APPS ONBARDED EVERY YEAR</t>
  </si>
  <si>
    <t>SAVINGS OF 9CR PER 50 APPS</t>
  </si>
  <si>
    <t>CUMMMULATIVE SAVING INCREASING BY 18CR PER 100 APPS EVERY YEARS</t>
  </si>
  <si>
    <t xml:space="preserve">COST IS 2.2 OPEX EVERY YEAR CONSTANT </t>
  </si>
  <si>
    <t>CUULATIVE COSTINCREASING BY 2.2 CR PER YEAR</t>
  </si>
  <si>
    <t>NET BENEFT IS  INCREASING EVERY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</si>
</sst>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6"/>
      <name val="Calibri"/>
      <family val="2"/>
    </font>
    <font>
      <sz val="16"/>
      <color theme="1"/>
      <name val="Calibri (Body)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Executive_Dashboard!$A$2</c:f>
              <c:strCache>
                <c:ptCount val="1"/>
                <c:pt idx="0">
                  <c:v>Applications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Executive_Dashboard!$B$2:$F$2</c:f>
              <c:numCache>
                <c:formatCode>General</c:formatCode>
                <c:ptCount val="5"/>
                <c:pt idx="0">
                  <c:v>50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2-4B47-9B9A-949D0DF115D0}"/>
            </c:ext>
          </c:extLst>
        </c:ser>
        <c:ser>
          <c:idx val="1"/>
          <c:order val="1"/>
          <c:tx>
            <c:strRef>
              <c:f>Executive_Dashboard!$A$3</c:f>
              <c:strCache>
                <c:ptCount val="1"/>
                <c:pt idx="0">
                  <c:v>Annual Savings (Cr)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Executive_Dashboard!$B$3:$F$3</c:f>
              <c:numCache>
                <c:formatCode>General</c:formatCode>
                <c:ptCount val="5"/>
                <c:pt idx="0">
                  <c:v>9</c:v>
                </c:pt>
                <c:pt idx="1">
                  <c:v>18</c:v>
                </c:pt>
                <c:pt idx="2">
                  <c:v>36</c:v>
                </c:pt>
                <c:pt idx="3">
                  <c:v>45</c:v>
                </c:pt>
                <c:pt idx="4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D2-4B47-9B9A-949D0DF115D0}"/>
            </c:ext>
          </c:extLst>
        </c:ser>
        <c:ser>
          <c:idx val="2"/>
          <c:order val="2"/>
          <c:tx>
            <c:strRef>
              <c:f>Executive_Dashboard!$A$4</c:f>
              <c:strCache>
                <c:ptCount val="1"/>
                <c:pt idx="0">
                  <c:v>Cumulative Savings (Cr)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Executive_Dashboard!$B$4:$F$4</c:f>
              <c:numCache>
                <c:formatCode>General</c:formatCode>
                <c:ptCount val="5"/>
                <c:pt idx="0">
                  <c:v>9</c:v>
                </c:pt>
                <c:pt idx="1">
                  <c:v>27</c:v>
                </c:pt>
                <c:pt idx="2">
                  <c:v>63</c:v>
                </c:pt>
                <c:pt idx="3">
                  <c:v>108</c:v>
                </c:pt>
                <c:pt idx="4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D2-4B47-9B9A-949D0DF115D0}"/>
            </c:ext>
          </c:extLst>
        </c:ser>
        <c:ser>
          <c:idx val="3"/>
          <c:order val="3"/>
          <c:tx>
            <c:strRef>
              <c:f>Executive_Dashboard!$A$5</c:f>
              <c:strCache>
                <c:ptCount val="1"/>
                <c:pt idx="0">
                  <c:v>ECS Cost (Cr)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Executive_Dashboard!$B$5:$F$5</c:f>
              <c:numCache>
                <c:formatCode>General</c:formatCode>
                <c:ptCount val="5"/>
                <c:pt idx="0">
                  <c:v>4</c:v>
                </c:pt>
                <c:pt idx="1">
                  <c:v>2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D2-4B47-9B9A-949D0DF115D0}"/>
            </c:ext>
          </c:extLst>
        </c:ser>
        <c:ser>
          <c:idx val="4"/>
          <c:order val="4"/>
          <c:tx>
            <c:strRef>
              <c:f>Executive_Dashboard!$A$6</c:f>
              <c:strCache>
                <c:ptCount val="1"/>
                <c:pt idx="0">
                  <c:v>Cumulative Cost (Cr)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Executive_Dashboard!$B$6:$F$6</c:f>
              <c:numCache>
                <c:formatCode>General</c:formatCode>
                <c:ptCount val="5"/>
                <c:pt idx="0">
                  <c:v>4</c:v>
                </c:pt>
                <c:pt idx="1">
                  <c:v>6</c:v>
                </c:pt>
                <c:pt idx="2">
                  <c:v>8.1999999999999993</c:v>
                </c:pt>
                <c:pt idx="3">
                  <c:v>10.399999999999999</c:v>
                </c:pt>
                <c:pt idx="4">
                  <c:v>12.599999999999998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D2-4B47-9B9A-949D0DF115D0}"/>
            </c:ext>
          </c:extLst>
        </c:ser>
        <c:ser>
          <c:idx val="5"/>
          <c:order val="5"/>
          <c:tx>
            <c:strRef>
              <c:f>Executive_Dashboard!$A$7</c:f>
              <c:strCache>
                <c:ptCount val="1"/>
                <c:pt idx="0">
                  <c:v>Net Benefit (Cr)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Executive_Dashboard!$B$1:$F$1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Executive_Dashboard!$B$7:$F$7</c:f>
              <c:numCache>
                <c:formatCode>General</c:formatCode>
                <c:ptCount val="5"/>
                <c:pt idx="0">
                  <c:v>5</c:v>
                </c:pt>
                <c:pt idx="1">
                  <c:v>21</c:v>
                </c:pt>
                <c:pt idx="2">
                  <c:v>54.8</c:v>
                </c:pt>
                <c:pt idx="3">
                  <c:v>97.6</c:v>
                </c:pt>
                <c:pt idx="4">
                  <c:v>149.4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D2-4B47-9B9A-949D0DF11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1639792"/>
        <c:axId val="821696496"/>
        <c:extLst>
          <c:ext xmlns:c15="http://schemas.microsoft.com/office/drawing/2012/chart" uri="{02D57815-91ED-43cb-92C2-25804820EDAC}">
            <c15:filteredBa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Executive_Dashboard!$A$8</c15:sqref>
                        </c15:formulaRef>
                      </c:ext>
                    </c:extLst>
                    <c:strCache>
                      <c:ptCount val="1"/>
                      <c:pt idx="0">
                        <c:v>Payback Status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Executive_Dashboard!$B$1:$F$1</c15:sqref>
                        </c15:formulaRef>
                      </c:ext>
                    </c:extLst>
                    <c:strCache>
                      <c:ptCount val="5"/>
                      <c:pt idx="0">
                        <c:v>Year 1</c:v>
                      </c:pt>
                      <c:pt idx="1">
                        <c:v>Year 2</c:v>
                      </c:pt>
                      <c:pt idx="2">
                        <c:v>Year 3</c:v>
                      </c:pt>
                      <c:pt idx="3">
                        <c:v>Year 4</c:v>
                      </c:pt>
                      <c:pt idx="4">
                        <c:v>Year 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Executive_Dashboard!$B$8:$F$8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AD2-4B47-9B9A-949D0DF115D0}"/>
                  </c:ext>
                </c:extLst>
              </c15:ser>
            </c15:filteredBarSeries>
          </c:ext>
        </c:extLst>
      </c:barChart>
      <c:catAx>
        <c:axId val="82163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96496"/>
        <c:crosses val="autoZero"/>
        <c:auto val="1"/>
        <c:lblAlgn val="ctr"/>
        <c:lblOffset val="100"/>
        <c:noMultiLvlLbl val="0"/>
      </c:catAx>
      <c:valAx>
        <c:axId val="82169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63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273050</xdr:colOff>
      <xdr:row>7</xdr:row>
      <xdr:rowOff>254000</xdr:rowOff>
    </xdr:from>
    <xdr:to>
      <xdr:col>7</xdr:col>
      <xdr:colOff>7404100</xdr:colOff>
      <xdr:row>31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2496CF-D3B5-3940-BD4D-17ABCAC89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workbookViewId="0">
      <selection activeCell="F24" sqref="F24"/>
    </sheetView>
  </sheetViews>
  <sheetFormatPr baseColWidth="10" defaultColWidth="8.83203125" defaultRowHeight="15"/>
  <cols>
    <col min="1" max="1" width="28.33203125" customWidth="1"/>
    <col min="2" max="2" width="15" customWidth="1"/>
    <col min="3" max="5" width="20" customWidth="1"/>
    <col min="6" max="8" width="15" customWidth="1"/>
    <col min="9" max="10" width="18" customWidth="1"/>
    <col min="11" max="11" width="60" customWidth="1"/>
  </cols>
  <sheetData>
    <row r="1" spans="1:11" ht="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1">
      <c r="A2" s="2" t="s">
        <v>11</v>
      </c>
      <c r="B2" s="2">
        <v>25</v>
      </c>
      <c r="C2" s="2">
        <v>1500</v>
      </c>
      <c r="D2" s="2">
        <v>37500</v>
      </c>
      <c r="E2" s="2">
        <v>8</v>
      </c>
      <c r="F2" s="2">
        <v>200000</v>
      </c>
      <c r="G2" s="2">
        <v>5</v>
      </c>
      <c r="H2" s="2">
        <v>16667</v>
      </c>
      <c r="I2" s="2">
        <v>1000</v>
      </c>
      <c r="J2" s="2">
        <v>1.67</v>
      </c>
      <c r="K2" s="2" t="s">
        <v>12</v>
      </c>
    </row>
    <row r="3" spans="1:11" ht="21">
      <c r="A3" s="2" t="s">
        <v>13</v>
      </c>
      <c r="B3" s="2">
        <v>25</v>
      </c>
      <c r="C3" s="2">
        <v>500</v>
      </c>
      <c r="D3" s="2">
        <v>12500</v>
      </c>
      <c r="E3" s="2">
        <v>6</v>
      </c>
      <c r="F3" s="2">
        <v>96000</v>
      </c>
      <c r="G3" s="2">
        <v>5</v>
      </c>
      <c r="H3" s="2">
        <v>8000</v>
      </c>
      <c r="I3" s="2">
        <v>1000</v>
      </c>
      <c r="J3" s="2">
        <v>0.8</v>
      </c>
      <c r="K3" s="2" t="s">
        <v>14</v>
      </c>
    </row>
    <row r="4" spans="1:11" ht="21">
      <c r="A4" s="2" t="s">
        <v>15</v>
      </c>
      <c r="B4" s="2">
        <v>25</v>
      </c>
      <c r="C4" s="2">
        <v>450</v>
      </c>
      <c r="D4" s="2">
        <v>11250</v>
      </c>
      <c r="E4" s="2">
        <v>6</v>
      </c>
      <c r="F4" s="2">
        <v>84000</v>
      </c>
      <c r="G4" s="2">
        <v>5</v>
      </c>
      <c r="H4" s="2">
        <v>7000</v>
      </c>
      <c r="I4" s="2">
        <v>1000</v>
      </c>
      <c r="J4" s="2">
        <v>0.7</v>
      </c>
      <c r="K4" s="2" t="s">
        <v>16</v>
      </c>
    </row>
    <row r="5" spans="1:11" ht="21">
      <c r="A5" s="2" t="s">
        <v>17</v>
      </c>
      <c r="B5" s="2">
        <v>25</v>
      </c>
      <c r="C5" s="2">
        <v>400</v>
      </c>
      <c r="D5" s="2">
        <v>10000</v>
      </c>
      <c r="E5" s="2">
        <v>6</v>
      </c>
      <c r="F5" s="2">
        <v>72000</v>
      </c>
      <c r="G5" s="2">
        <v>5</v>
      </c>
      <c r="H5" s="2">
        <v>6000</v>
      </c>
      <c r="I5" s="2">
        <v>1000</v>
      </c>
      <c r="J5" s="2">
        <v>0.6</v>
      </c>
      <c r="K5" s="2" t="s">
        <v>18</v>
      </c>
    </row>
    <row r="6" spans="1:11" ht="21">
      <c r="A6" s="2" t="s">
        <v>19</v>
      </c>
      <c r="B6" s="2">
        <v>25</v>
      </c>
      <c r="C6" s="2">
        <v>250</v>
      </c>
      <c r="D6" s="2">
        <v>6250</v>
      </c>
      <c r="E6" s="2">
        <v>5</v>
      </c>
      <c r="F6" s="2">
        <v>48000</v>
      </c>
      <c r="G6" s="2">
        <v>5</v>
      </c>
      <c r="H6" s="2">
        <v>4000</v>
      </c>
      <c r="I6" s="2">
        <v>1000</v>
      </c>
      <c r="J6" s="2">
        <v>0.4</v>
      </c>
      <c r="K6" s="2" t="s">
        <v>20</v>
      </c>
    </row>
    <row r="7" spans="1:11" ht="21">
      <c r="A7" s="2" t="s">
        <v>21</v>
      </c>
      <c r="B7" s="2">
        <v>25</v>
      </c>
      <c r="C7" s="2">
        <v>250</v>
      </c>
      <c r="D7" s="2">
        <v>6250</v>
      </c>
      <c r="E7" s="2">
        <v>5</v>
      </c>
      <c r="F7" s="2">
        <v>48000</v>
      </c>
      <c r="G7" s="2">
        <v>5</v>
      </c>
      <c r="H7" s="2">
        <v>4000</v>
      </c>
      <c r="I7" s="2">
        <v>1000</v>
      </c>
      <c r="J7" s="2">
        <v>0.4</v>
      </c>
      <c r="K7" s="2" t="s">
        <v>22</v>
      </c>
    </row>
    <row r="8" spans="1:11" ht="21">
      <c r="A8" s="2" t="s">
        <v>23</v>
      </c>
      <c r="B8" s="2">
        <v>25</v>
      </c>
      <c r="C8" s="2">
        <v>300</v>
      </c>
      <c r="D8" s="2">
        <v>7500</v>
      </c>
      <c r="E8" s="2">
        <v>5</v>
      </c>
      <c r="F8" s="2">
        <v>60000</v>
      </c>
      <c r="G8" s="2">
        <v>5</v>
      </c>
      <c r="H8" s="2">
        <v>5000</v>
      </c>
      <c r="I8" s="2">
        <v>1000</v>
      </c>
      <c r="J8" s="2">
        <v>0.5</v>
      </c>
      <c r="K8" s="2" t="s">
        <v>24</v>
      </c>
    </row>
    <row r="9" spans="1:11" ht="21">
      <c r="A9" s="2" t="s">
        <v>25</v>
      </c>
      <c r="B9" s="2">
        <v>25</v>
      </c>
      <c r="C9" s="2">
        <v>350</v>
      </c>
      <c r="D9" s="2">
        <v>8750</v>
      </c>
      <c r="E9" s="2">
        <v>5</v>
      </c>
      <c r="F9" s="2">
        <v>72000</v>
      </c>
      <c r="G9" s="2">
        <v>5</v>
      </c>
      <c r="H9" s="2">
        <v>6000</v>
      </c>
      <c r="I9" s="2">
        <v>1000</v>
      </c>
      <c r="J9" s="2">
        <v>0.6</v>
      </c>
      <c r="K9" s="2" t="s">
        <v>26</v>
      </c>
    </row>
    <row r="10" spans="1:11" ht="21">
      <c r="A10" s="2" t="s">
        <v>27</v>
      </c>
      <c r="B10" s="2">
        <v>25</v>
      </c>
      <c r="C10" s="2">
        <v>400</v>
      </c>
      <c r="D10" s="2">
        <v>10000</v>
      </c>
      <c r="E10" s="2">
        <v>6</v>
      </c>
      <c r="F10" s="2">
        <v>72000</v>
      </c>
      <c r="G10" s="2">
        <v>5</v>
      </c>
      <c r="H10" s="2">
        <v>6000</v>
      </c>
      <c r="I10" s="2">
        <v>1000</v>
      </c>
      <c r="J10" s="2">
        <v>0.6</v>
      </c>
      <c r="K10" s="2" t="s">
        <v>28</v>
      </c>
    </row>
    <row r="11" spans="1:11" ht="21">
      <c r="A11" s="2" t="s">
        <v>29</v>
      </c>
      <c r="B11" s="2">
        <v>25</v>
      </c>
      <c r="C11" s="2">
        <v>350</v>
      </c>
      <c r="D11" s="2">
        <v>8750</v>
      </c>
      <c r="E11" s="2">
        <v>5</v>
      </c>
      <c r="F11" s="2">
        <v>60000</v>
      </c>
      <c r="G11" s="2">
        <v>5</v>
      </c>
      <c r="H11" s="2">
        <v>5000</v>
      </c>
      <c r="I11" s="2">
        <v>1000</v>
      </c>
      <c r="J11" s="2">
        <v>0.5</v>
      </c>
      <c r="K11" s="2" t="s">
        <v>30</v>
      </c>
    </row>
    <row r="12" spans="1:11" ht="21">
      <c r="A12" s="2" t="s">
        <v>31</v>
      </c>
      <c r="B12" s="2">
        <v>25</v>
      </c>
      <c r="C12" s="2">
        <v>200</v>
      </c>
      <c r="D12" s="2">
        <v>5000</v>
      </c>
      <c r="E12" s="2">
        <v>5</v>
      </c>
      <c r="F12" s="2">
        <v>36000</v>
      </c>
      <c r="G12" s="2">
        <v>5</v>
      </c>
      <c r="H12" s="2">
        <v>3000</v>
      </c>
      <c r="I12" s="2">
        <v>1000</v>
      </c>
      <c r="J12" s="2">
        <v>0.3</v>
      </c>
      <c r="K12" s="2" t="s">
        <v>32</v>
      </c>
    </row>
    <row r="13" spans="1:11" ht="21">
      <c r="A13" s="2" t="s">
        <v>33</v>
      </c>
      <c r="B13" s="2">
        <v>25</v>
      </c>
      <c r="C13" s="2">
        <v>200</v>
      </c>
      <c r="D13" s="2">
        <v>5000</v>
      </c>
      <c r="E13" s="2">
        <v>5</v>
      </c>
      <c r="F13" s="2">
        <v>36000</v>
      </c>
      <c r="G13" s="2">
        <v>5</v>
      </c>
      <c r="H13" s="2">
        <v>3000</v>
      </c>
      <c r="I13" s="2">
        <v>1000</v>
      </c>
      <c r="J13" s="2">
        <v>0.3</v>
      </c>
      <c r="K13" s="2" t="s">
        <v>34</v>
      </c>
    </row>
    <row r="14" spans="1:11" ht="21">
      <c r="A14" s="2" t="s">
        <v>35</v>
      </c>
      <c r="B14" s="2">
        <v>25</v>
      </c>
      <c r="C14" s="2">
        <v>300</v>
      </c>
      <c r="D14" s="2">
        <v>7500</v>
      </c>
      <c r="E14" s="2">
        <v>5</v>
      </c>
      <c r="F14" s="2">
        <v>48000</v>
      </c>
      <c r="G14" s="2">
        <v>5</v>
      </c>
      <c r="H14" s="2">
        <v>4000</v>
      </c>
      <c r="I14" s="2">
        <v>1000</v>
      </c>
      <c r="J14" s="2">
        <v>0.4</v>
      </c>
      <c r="K14" s="2" t="s">
        <v>36</v>
      </c>
    </row>
    <row r="15" spans="1:11" ht="21">
      <c r="A15" s="2" t="s">
        <v>37</v>
      </c>
      <c r="B15" s="2">
        <v>25</v>
      </c>
      <c r="C15" s="2">
        <v>250</v>
      </c>
      <c r="D15" s="2">
        <v>6250</v>
      </c>
      <c r="E15" s="2">
        <v>5</v>
      </c>
      <c r="F15" s="2">
        <v>48000</v>
      </c>
      <c r="G15" s="2">
        <v>5</v>
      </c>
      <c r="H15" s="2">
        <v>4000</v>
      </c>
      <c r="I15" s="2">
        <v>1000</v>
      </c>
      <c r="J15" s="2">
        <v>0.4</v>
      </c>
      <c r="K15" s="2" t="s">
        <v>38</v>
      </c>
    </row>
    <row r="16" spans="1:11" ht="21">
      <c r="A16" s="2" t="s">
        <v>39</v>
      </c>
      <c r="B16" s="2">
        <v>25</v>
      </c>
      <c r="C16" s="2">
        <v>150</v>
      </c>
      <c r="D16" s="2">
        <v>3750</v>
      </c>
      <c r="E16" s="2">
        <v>4</v>
      </c>
      <c r="F16" s="2">
        <v>36000</v>
      </c>
      <c r="G16" s="2">
        <v>5</v>
      </c>
      <c r="H16" s="2">
        <v>3000</v>
      </c>
      <c r="I16" s="2">
        <v>1000</v>
      </c>
      <c r="J16" s="2">
        <v>0.3</v>
      </c>
      <c r="K16" s="2" t="s">
        <v>40</v>
      </c>
    </row>
    <row r="17" spans="1:11" ht="21">
      <c r="A17" s="2" t="s">
        <v>41</v>
      </c>
      <c r="B17" s="2">
        <v>25</v>
      </c>
      <c r="C17" s="2">
        <v>125</v>
      </c>
      <c r="D17" s="2">
        <v>3125</v>
      </c>
      <c r="E17" s="2">
        <v>4</v>
      </c>
      <c r="F17" s="2">
        <v>30000</v>
      </c>
      <c r="G17" s="2">
        <v>5</v>
      </c>
      <c r="H17" s="2">
        <v>2500</v>
      </c>
      <c r="I17" s="2">
        <v>1000</v>
      </c>
      <c r="J17" s="2">
        <v>0.25</v>
      </c>
      <c r="K17" s="2" t="s">
        <v>42</v>
      </c>
    </row>
    <row r="18" spans="1:11" ht="21">
      <c r="A18" s="2" t="s">
        <v>43</v>
      </c>
      <c r="B18" s="2">
        <v>25</v>
      </c>
      <c r="C18" s="2">
        <v>125</v>
      </c>
      <c r="D18" s="2">
        <v>3125</v>
      </c>
      <c r="E18" s="2">
        <v>4</v>
      </c>
      <c r="F18" s="2">
        <v>30000</v>
      </c>
      <c r="G18" s="2">
        <v>5</v>
      </c>
      <c r="H18" s="2">
        <v>2500</v>
      </c>
      <c r="I18" s="2">
        <v>1000</v>
      </c>
      <c r="J18" s="2">
        <v>0.25</v>
      </c>
      <c r="K18" s="2" t="s">
        <v>44</v>
      </c>
    </row>
    <row r="20" spans="1:11" ht="21">
      <c r="H20" s="5">
        <f>SUM(H2:H18)</f>
        <v>89667</v>
      </c>
      <c r="I20" s="5"/>
      <c r="J20" s="5">
        <f>SUM(J2:J18)</f>
        <v>8.9700000000000006</v>
      </c>
    </row>
    <row r="21" spans="1:11" ht="21">
      <c r="A21" s="3" t="s">
        <v>45</v>
      </c>
      <c r="H21" s="3">
        <v>90000</v>
      </c>
      <c r="J21" s="3">
        <v>9</v>
      </c>
      <c r="K21" s="4" t="s">
        <v>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C12" sqref="C12"/>
    </sheetView>
  </sheetViews>
  <sheetFormatPr baseColWidth="10" defaultColWidth="8.83203125" defaultRowHeight="15"/>
  <cols>
    <col min="1" max="1" width="8.1640625" bestFit="1" customWidth="1"/>
    <col min="2" max="2" width="15.33203125" bestFit="1" customWidth="1"/>
    <col min="3" max="3" width="23.5" bestFit="1" customWidth="1"/>
    <col min="4" max="4" width="36.33203125" bestFit="1" customWidth="1"/>
  </cols>
  <sheetData>
    <row r="1" spans="1:4" ht="21">
      <c r="A1" s="3" t="s">
        <v>46</v>
      </c>
      <c r="B1" s="3" t="s">
        <v>1</v>
      </c>
      <c r="C1" s="3" t="s">
        <v>47</v>
      </c>
      <c r="D1" s="3" t="s">
        <v>48</v>
      </c>
    </row>
    <row r="2" spans="1:4" ht="21">
      <c r="A2" s="2" t="s">
        <v>49</v>
      </c>
      <c r="B2" s="2">
        <v>50</v>
      </c>
      <c r="C2" s="2">
        <v>9</v>
      </c>
      <c r="D2" s="2">
        <v>9</v>
      </c>
    </row>
    <row r="3" spans="1:4" ht="21">
      <c r="A3" s="2" t="s">
        <v>50</v>
      </c>
      <c r="B3" s="2">
        <v>100</v>
      </c>
      <c r="C3" s="2">
        <v>18</v>
      </c>
      <c r="D3" s="2">
        <v>27</v>
      </c>
    </row>
    <row r="4" spans="1:4" ht="21">
      <c r="A4" s="2" t="s">
        <v>51</v>
      </c>
      <c r="B4" s="2">
        <v>200</v>
      </c>
      <c r="C4" s="2">
        <v>36</v>
      </c>
      <c r="D4" s="2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>
      <selection activeCell="D7" sqref="D7"/>
    </sheetView>
  </sheetViews>
  <sheetFormatPr baseColWidth="10" defaultColWidth="8.83203125" defaultRowHeight="15"/>
  <cols>
    <col min="1" max="1" width="13.6640625" bestFit="1" customWidth="1"/>
    <col min="2" max="2" width="30.33203125" bestFit="1" customWidth="1"/>
    <col min="3" max="3" width="22.6640625" bestFit="1" customWidth="1"/>
    <col min="4" max="4" width="22.5" bestFit="1" customWidth="1"/>
    <col min="5" max="5" width="61.5" bestFit="1" customWidth="1"/>
  </cols>
  <sheetData>
    <row r="1" spans="1:5" ht="21">
      <c r="A1" s="3" t="s">
        <v>52</v>
      </c>
      <c r="B1" s="3" t="s">
        <v>53</v>
      </c>
      <c r="C1" s="3" t="s">
        <v>54</v>
      </c>
      <c r="D1" s="3" t="s">
        <v>9</v>
      </c>
      <c r="E1" s="3" t="s">
        <v>10</v>
      </c>
    </row>
    <row r="2" spans="1:5" ht="21">
      <c r="A2" s="2" t="s">
        <v>55</v>
      </c>
      <c r="B2" s="2" t="s">
        <v>56</v>
      </c>
      <c r="C2" s="2" t="s">
        <v>57</v>
      </c>
      <c r="D2" s="2">
        <v>0.15</v>
      </c>
      <c r="E2" s="2" t="s">
        <v>58</v>
      </c>
    </row>
    <row r="3" spans="1:5" ht="21">
      <c r="A3" s="2" t="s">
        <v>59</v>
      </c>
      <c r="B3" s="2" t="s">
        <v>60</v>
      </c>
      <c r="C3" s="2" t="s">
        <v>61</v>
      </c>
      <c r="D3" s="2">
        <v>0.05</v>
      </c>
      <c r="E3" s="2" t="s">
        <v>62</v>
      </c>
    </row>
    <row r="4" spans="1:5" ht="21">
      <c r="A4" s="2" t="s">
        <v>63</v>
      </c>
      <c r="B4" s="2" t="s">
        <v>64</v>
      </c>
      <c r="C4" s="2" t="s">
        <v>57</v>
      </c>
      <c r="D4" s="2">
        <v>0.1</v>
      </c>
      <c r="E4" s="2" t="s">
        <v>65</v>
      </c>
    </row>
    <row r="5" spans="1:5" ht="21">
      <c r="A5" s="2" t="s">
        <v>66</v>
      </c>
      <c r="B5" s="2" t="s">
        <v>67</v>
      </c>
      <c r="C5" s="2" t="s">
        <v>68</v>
      </c>
      <c r="D5" s="2">
        <v>0.15</v>
      </c>
      <c r="E5" s="2" t="s">
        <v>69</v>
      </c>
    </row>
    <row r="6" spans="1:5" ht="21">
      <c r="A6" s="2" t="s">
        <v>70</v>
      </c>
      <c r="B6" s="2" t="s">
        <v>71</v>
      </c>
      <c r="C6" s="2" t="s">
        <v>61</v>
      </c>
      <c r="D6" s="2">
        <v>0.1</v>
      </c>
      <c r="E6" s="2" t="s">
        <v>72</v>
      </c>
    </row>
    <row r="7" spans="1:5" ht="21">
      <c r="D7" s="5">
        <f>SUM(D2:D6)</f>
        <v>0.55000000000000004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>
      <selection activeCell="C4" sqref="C4"/>
    </sheetView>
  </sheetViews>
  <sheetFormatPr baseColWidth="10" defaultColWidth="8.83203125" defaultRowHeight="15"/>
  <cols>
    <col min="1" max="1" width="22.6640625" bestFit="1" customWidth="1"/>
    <col min="2" max="2" width="10.5" bestFit="1" customWidth="1"/>
    <col min="3" max="3" width="43.83203125" bestFit="1" customWidth="1"/>
  </cols>
  <sheetData>
    <row r="1" spans="1:3" ht="21">
      <c r="A1" s="3" t="s">
        <v>73</v>
      </c>
      <c r="B1" s="3" t="s">
        <v>74</v>
      </c>
      <c r="C1" s="3" t="s">
        <v>10</v>
      </c>
    </row>
    <row r="2" spans="1:3" ht="21">
      <c r="A2" s="2" t="s">
        <v>7</v>
      </c>
      <c r="B2" s="2">
        <v>90000</v>
      </c>
      <c r="C2" s="2" t="s">
        <v>75</v>
      </c>
    </row>
    <row r="3" spans="1:3" ht="21">
      <c r="A3" s="2" t="s">
        <v>76</v>
      </c>
      <c r="B3" s="2">
        <v>1000</v>
      </c>
      <c r="C3" s="2" t="s">
        <v>77</v>
      </c>
    </row>
    <row r="4" spans="1:3" ht="21">
      <c r="A4" s="2" t="s">
        <v>9</v>
      </c>
      <c r="B4" s="2">
        <v>9</v>
      </c>
      <c r="C4" s="2" t="s">
        <v>89</v>
      </c>
    </row>
    <row r="5" spans="1:3" ht="21">
      <c r="A5" s="2" t="s">
        <v>78</v>
      </c>
      <c r="B5" s="2">
        <v>2000000</v>
      </c>
      <c r="C5" s="2" t="s">
        <v>79</v>
      </c>
    </row>
    <row r="6" spans="1:3" ht="21">
      <c r="A6" s="2" t="s">
        <v>80</v>
      </c>
      <c r="B6" s="2">
        <v>45</v>
      </c>
      <c r="C6" s="2" t="s">
        <v>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tabSelected="1" workbookViewId="0">
      <selection activeCell="E7" sqref="E7"/>
    </sheetView>
  </sheetViews>
  <sheetFormatPr baseColWidth="10" defaultColWidth="8.83203125" defaultRowHeight="15"/>
  <cols>
    <col min="1" max="1" width="27.5" bestFit="1" customWidth="1"/>
    <col min="2" max="4" width="11" bestFit="1" customWidth="1"/>
    <col min="8" max="8" width="103.83203125" customWidth="1"/>
  </cols>
  <sheetData>
    <row r="1" spans="1:8" ht="21">
      <c r="A1" s="3" t="s">
        <v>73</v>
      </c>
      <c r="B1" s="3" t="s">
        <v>49</v>
      </c>
      <c r="C1" s="3" t="s">
        <v>50</v>
      </c>
      <c r="D1" s="3" t="s">
        <v>51</v>
      </c>
      <c r="E1" s="3" t="s">
        <v>91</v>
      </c>
      <c r="F1" s="3" t="s">
        <v>90</v>
      </c>
      <c r="H1" s="3" t="s">
        <v>92</v>
      </c>
    </row>
    <row r="2" spans="1:8" ht="21">
      <c r="A2" s="2" t="s">
        <v>1</v>
      </c>
      <c r="B2" s="2">
        <v>50</v>
      </c>
      <c r="C2" s="2">
        <v>100</v>
      </c>
      <c r="D2" s="2">
        <v>200</v>
      </c>
      <c r="E2" s="2">
        <v>300</v>
      </c>
      <c r="F2" s="2">
        <v>400</v>
      </c>
      <c r="H2" s="2" t="s">
        <v>93</v>
      </c>
    </row>
    <row r="3" spans="1:8" ht="21">
      <c r="A3" s="2" t="s">
        <v>47</v>
      </c>
      <c r="B3" s="2">
        <v>9</v>
      </c>
      <c r="C3" s="2">
        <v>18</v>
      </c>
      <c r="D3" s="2">
        <v>36</v>
      </c>
      <c r="E3" s="2">
        <v>45</v>
      </c>
      <c r="F3" s="2">
        <v>54</v>
      </c>
      <c r="H3" s="2" t="s">
        <v>94</v>
      </c>
    </row>
    <row r="4" spans="1:8" ht="21">
      <c r="A4" s="2" t="s">
        <v>82</v>
      </c>
      <c r="B4" s="2">
        <v>9</v>
      </c>
      <c r="C4" s="2">
        <f>C3+B4</f>
        <v>27</v>
      </c>
      <c r="D4" s="2">
        <f>D3+C4</f>
        <v>63</v>
      </c>
      <c r="E4" s="5">
        <f>E3+D4</f>
        <v>108</v>
      </c>
      <c r="F4" s="5">
        <f>F3+E4</f>
        <v>162</v>
      </c>
      <c r="H4" s="2" t="s">
        <v>95</v>
      </c>
    </row>
    <row r="5" spans="1:8" ht="21">
      <c r="A5" s="2" t="s">
        <v>83</v>
      </c>
      <c r="B5" s="2">
        <v>4</v>
      </c>
      <c r="C5" s="2">
        <v>2</v>
      </c>
      <c r="D5" s="2">
        <v>2.2000000000000002</v>
      </c>
      <c r="E5" s="5">
        <v>2.2000000000000002</v>
      </c>
      <c r="F5" s="5">
        <v>2.2000000000000002</v>
      </c>
      <c r="G5" s="5"/>
      <c r="H5" s="2" t="s">
        <v>96</v>
      </c>
    </row>
    <row r="6" spans="1:8" ht="21">
      <c r="A6" s="2" t="s">
        <v>84</v>
      </c>
      <c r="B6" s="2">
        <v>4</v>
      </c>
      <c r="C6" s="2">
        <f>B6+C5</f>
        <v>6</v>
      </c>
      <c r="D6" s="2">
        <f>C6+D5</f>
        <v>8.1999999999999993</v>
      </c>
      <c r="E6" s="5">
        <f>D6+E5</f>
        <v>10.399999999999999</v>
      </c>
      <c r="F6" s="5">
        <f>E6+F5</f>
        <v>12.599999999999998</v>
      </c>
      <c r="G6" s="5"/>
      <c r="H6" s="2" t="s">
        <v>97</v>
      </c>
    </row>
    <row r="7" spans="1:8" ht="21">
      <c r="A7" s="2" t="s">
        <v>85</v>
      </c>
      <c r="B7" s="2">
        <v>5</v>
      </c>
      <c r="C7" s="2">
        <f>C4-C6</f>
        <v>21</v>
      </c>
      <c r="D7" s="2">
        <f>D4-D6</f>
        <v>54.8</v>
      </c>
      <c r="E7" s="5">
        <f>E4-E6</f>
        <v>97.6</v>
      </c>
      <c r="F7" s="5">
        <f>F4-F6</f>
        <v>149.4</v>
      </c>
      <c r="G7" s="5"/>
      <c r="H7" s="2" t="s">
        <v>98</v>
      </c>
    </row>
    <row r="8" spans="1:8" ht="21">
      <c r="A8" s="2" t="s">
        <v>86</v>
      </c>
      <c r="B8" s="2" t="s">
        <v>87</v>
      </c>
      <c r="C8" s="2" t="s">
        <v>87</v>
      </c>
      <c r="D8" s="2" t="s">
        <v>87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Framework_Master</vt:lpstr>
      <vt:lpstr>Scenarios</vt:lpstr>
      <vt:lpstr>Storage_Savings</vt:lpstr>
      <vt:lpstr>FTE_Savings</vt:lpstr>
      <vt:lpstr>Executive_Dashboard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2026-06-10T17:06:24Z</dcterms:created>
  <dcterms:modified xsi:type="dcterms:W3CDTF">2026-06-14T18:02:55Z</dcterms:modified>
</cp:coreProperties>
</file>