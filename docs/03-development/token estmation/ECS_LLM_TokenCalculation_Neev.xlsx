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720" tabRatio="600" firstSheet="0" activeTab="4" autoFilterDateGrouping="1"/>
  </bookViews>
  <sheets>
    <sheet name="Input Token Breakdown" sheetId="1" state="visible" r:id="rId1"/>
    <sheet name="Output Token Breakdown" sheetId="2" state="visible" r:id="rId2"/>
    <sheet name="Local LLM Hardware" sheetId="3" state="visible" r:id="rId3"/>
    <sheet name="Neve Capacity Model" sheetId="4" state="visible" r:id="rId4"/>
    <sheet name="3 Year Capacity Plan" sheetId="5" state="visible" r:id="rId5"/>
    <sheet name="Budget Summary" sheetId="6" state="visible" r:id="rId6"/>
    <sheet name="Assumptions &amp; Methodology" sheetId="7" state="visible" r:id="rId7"/>
    <sheet name="Finance Submission Notes" sheetId="8" state="visible" r:id="rId8"/>
  </sheets>
  <definedNames/>
  <calcPr calcId="0" fullCalcOnLoad="1"/>
</workbook>
</file>

<file path=xl/styles.xml><?xml version="1.0" encoding="utf-8"?>
<styleSheet xmlns="http://schemas.openxmlformats.org/spreadsheetml/2006/main">
  <numFmts count="1">
    <numFmt numFmtId="164" formatCode="₹#,##0.00&quot; Lakh&quot;"/>
  </numFmts>
  <fonts count="11">
    <font>
      <name val="Calibri"/>
      <family val="2"/>
      <color theme="1"/>
      <sz val="11"/>
      <scheme val="minor"/>
    </font>
    <font>
      <name val="Calibri (Body)"/>
      <b val="1"/>
      <sz val="16"/>
    </font>
    <font>
      <name val="Calibri (Body)"/>
      <color theme="1"/>
      <sz val="16"/>
    </font>
    <font>
      <name val="Calibri"/>
      <b val="1"/>
      <color rgb="00FFFFFF"/>
      <sz val="16"/>
    </font>
    <font>
      <name val="Calibri"/>
      <i val="1"/>
      <color rgb="00D9E1F2"/>
      <sz val="10"/>
    </font>
    <font>
      <name val="Calibri"/>
      <b val="1"/>
      <color rgb="00FFFFFF"/>
      <sz val="10"/>
    </font>
    <font>
      <name val="Calibri"/>
      <b val="1"/>
      <color rgb="001A1A1A"/>
      <sz val="10"/>
    </font>
    <font>
      <name val="Calibri"/>
      <color rgb="001A1A1A"/>
      <sz val="10"/>
    </font>
    <font>
      <name val="Calibri"/>
      <b val="1"/>
      <color rgb="001F3864"/>
      <sz val="11"/>
    </font>
    <font>
      <name val="Calibri"/>
      <i val="1"/>
      <color rgb="00595959"/>
      <sz val="9"/>
    </font>
    <font>
      <name val="Calibri"/>
      <b val="1"/>
      <color rgb="00FFFFFF"/>
      <sz val="11"/>
    </font>
  </fonts>
  <fills count="8">
    <fill>
      <patternFill/>
    </fill>
    <fill>
      <patternFill patternType="gray125"/>
    </fill>
    <fill>
      <patternFill patternType="solid">
        <fgColor rgb="001F3864"/>
      </patternFill>
    </fill>
    <fill>
      <patternFill patternType="solid">
        <fgColor rgb="002E5496"/>
      </patternFill>
    </fill>
    <fill>
      <patternFill patternType="solid">
        <fgColor rgb="00F2F6FC"/>
      </patternFill>
    </fill>
    <fill>
      <patternFill patternType="solid">
        <fgColor rgb="00FCE4D6"/>
      </patternFill>
    </fill>
    <fill>
      <patternFill patternType="solid">
        <fgColor rgb="00FFF2CC"/>
      </patternFill>
    </fill>
    <fill>
      <patternFill patternType="solid">
        <fgColor rgb="008EAAD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4" fillId="2"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top" wrapText="1"/>
    </xf>
    <xf numFmtId="3" fontId="7" fillId="0" borderId="1" applyAlignment="1" pivotButton="0" quotePrefix="0" xfId="0">
      <alignment horizontal="right" vertical="center"/>
    </xf>
    <xf numFmtId="0" fontId="6" fillId="4" borderId="1" applyAlignment="1" pivotButton="0" quotePrefix="0" xfId="0">
      <alignment horizontal="left" vertical="center" wrapText="1"/>
    </xf>
    <xf numFmtId="0" fontId="7" fillId="4" borderId="1" applyAlignment="1" pivotButton="0" quotePrefix="0" xfId="0">
      <alignment horizontal="left" vertical="top" wrapText="1"/>
    </xf>
    <xf numFmtId="3" fontId="7" fillId="4" borderId="1" applyAlignment="1" pivotButton="0" quotePrefix="0" xfId="0">
      <alignment horizontal="right" vertical="center"/>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3" fontId="6" fillId="5" borderId="1" applyAlignment="1" pivotButton="0" quotePrefix="0" xfId="0">
      <alignment horizontal="right" vertical="center"/>
    </xf>
    <xf numFmtId="0" fontId="8" fillId="6" borderId="1" applyAlignment="1" pivotButton="0" quotePrefix="0" xfId="0">
      <alignment horizontal="left" vertical="center" wrapText="1"/>
    </xf>
    <xf numFmtId="3" fontId="8" fillId="6" borderId="1" applyAlignment="1" pivotButton="0" quotePrefix="0" xfId="0">
      <alignment horizontal="right" vertical="center"/>
    </xf>
    <xf numFmtId="0" fontId="9" fillId="0" borderId="0" applyAlignment="1" pivotButton="0" quotePrefix="0" xfId="0">
      <alignment horizontal="left" vertical="top" wrapText="1"/>
    </xf>
    <xf numFmtId="3" fontId="6" fillId="0" borderId="1" applyAlignment="1" pivotButton="0" quotePrefix="0" xfId="0">
      <alignment horizontal="right" vertical="center"/>
    </xf>
    <xf numFmtId="0" fontId="10" fillId="7" borderId="0" applyAlignment="1" pivotButton="0" quotePrefix="0" xfId="0">
      <alignment horizontal="left" vertical="center" indent="1"/>
    </xf>
    <xf numFmtId="0" fontId="6" fillId="6" borderId="1" applyAlignment="1" pivotButton="0" quotePrefix="0" xfId="0">
      <alignment horizontal="left" vertical="center" wrapText="1"/>
    </xf>
    <xf numFmtId="3" fontId="6" fillId="6" borderId="1" applyAlignment="1" pivotButton="0" quotePrefix="0" xfId="0">
      <alignment horizontal="right" vertical="center"/>
    </xf>
    <xf numFmtId="0" fontId="7" fillId="6" borderId="1" applyAlignment="1" pivotButton="0" quotePrefix="0" xfId="0">
      <alignment horizontal="left" vertical="top" wrapText="1"/>
    </xf>
    <xf numFmtId="0" fontId="7" fillId="0" borderId="1" applyAlignment="1" pivotButton="0" quotePrefix="0" xfId="0">
      <alignment horizontal="left" vertical="center" wrapText="1"/>
    </xf>
    <xf numFmtId="0" fontId="7" fillId="4" borderId="1" applyAlignment="1" pivotButton="0" quotePrefix="0" xfId="0">
      <alignment horizontal="left" vertical="center" wrapText="1"/>
    </xf>
    <xf numFmtId="9" fontId="7" fillId="0" borderId="1" applyAlignment="1" pivotButton="0" quotePrefix="0" xfId="0">
      <alignment horizontal="center" vertical="center"/>
    </xf>
    <xf numFmtId="9" fontId="7" fillId="4" borderId="1" applyAlignment="1" pivotButton="0" quotePrefix="0" xfId="0">
      <alignment horizontal="right" vertical="center"/>
    </xf>
    <xf numFmtId="9" fontId="7" fillId="0" borderId="1" applyAlignment="1" pivotButton="0" quotePrefix="0" xfId="0">
      <alignment horizontal="right" vertical="center"/>
    </xf>
    <xf numFmtId="164" fontId="7" fillId="0" borderId="1" applyAlignment="1" pivotButton="0" quotePrefix="0" xfId="0">
      <alignment horizontal="right" vertical="center"/>
    </xf>
    <xf numFmtId="164" fontId="7" fillId="4" borderId="1" applyAlignment="1" pivotButton="0" quotePrefix="0" xfId="0">
      <alignment horizontal="right" vertical="center"/>
    </xf>
    <xf numFmtId="164" fontId="8" fillId="6" borderId="1" applyAlignment="1" pivotButton="0" quotePrefix="0" xfId="0">
      <alignment horizontal="right" vertical="center"/>
    </xf>
    <xf numFmtId="3" fontId="6" fillId="4" borderId="1" applyAlignment="1" pivotButton="0" quotePrefix="0" xfId="0">
      <alignment horizontal="right" vertical="center"/>
    </xf>
    <xf numFmtId="3" fontId="7" fillId="6" borderId="1" applyAlignment="1" pivotButton="0" quotePrefix="0" xfId="0">
      <alignment horizontal="right" vertical="center"/>
    </xf>
    <xf numFmtId="0" fontId="10" fillId="3" borderId="0" applyAlignment="1" pivotButton="0" quotePrefix="0" xfId="0">
      <alignment horizontal="left" vertical="center" inden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showGridLines="0" workbookViewId="0">
      <pane ySplit="4" topLeftCell="A5" activePane="bottomLeft" state="frozen"/>
      <selection pane="bottomLeft" activeCell="C10" sqref="C10"/>
    </sheetView>
  </sheetViews>
  <sheetFormatPr baseColWidth="10" defaultColWidth="8.83203125" defaultRowHeight="21"/>
  <cols>
    <col width="24" customWidth="1" min="1" max="1"/>
    <col width="42" customWidth="1" min="2" max="2"/>
    <col width="24" customWidth="1" min="3" max="3"/>
    <col width="11" customWidth="1" min="4" max="4"/>
    <col width="13" customWidth="1" min="5" max="5"/>
    <col width="12" customWidth="1" min="6" max="6"/>
    <col width="11" customWidth="1" min="7" max="7"/>
    <col width="40" customWidth="1" min="8" max="8"/>
    <col width="42" customWidth="1" min="9" max="9"/>
    <col width="34" customWidth="1" min="10" max="10"/>
    <col width="30" customWidth="1" min="11" max="11"/>
  </cols>
  <sheetData>
    <row r="1" ht="26" customHeight="1">
      <c r="A1" s="3" t="inlineStr">
        <is>
          <t>Sheet 1 — Input Token Breakdown</t>
        </is>
      </c>
    </row>
    <row r="2" ht="16" customHeight="1">
      <c r="A2" s="4" t="inlineStr">
        <is>
          <t>Finance-grade decomposition of the 125,000 input-token envelope per ECS AI request</t>
        </is>
      </c>
    </row>
    <row r="4" ht="30" customHeight="1">
      <c r="A4" s="5" t="inlineStr">
        <is>
          <t>Component</t>
        </is>
      </c>
      <c r="B4" s="5" t="inlineStr">
        <is>
          <t>Description</t>
        </is>
      </c>
      <c r="C4" s="5" t="inlineStr">
        <is>
          <t>Formula Used</t>
        </is>
      </c>
      <c r="D4" s="5" t="inlineStr">
        <is>
          <t>Tokens</t>
        </is>
      </c>
      <c r="E4" s="5" t="inlineStr">
        <is>
          <t>Conservative</t>
        </is>
      </c>
      <c r="F4" s="5" t="inlineStr">
        <is>
          <t>Expected</t>
        </is>
      </c>
      <c r="G4" s="5" t="inlineStr">
        <is>
          <t>Peak</t>
        </is>
      </c>
      <c r="H4" s="5" t="inlineStr">
        <is>
          <t>Assumptions</t>
        </is>
      </c>
      <c r="I4" s="5" t="inlineStr">
        <is>
          <t>Justification</t>
        </is>
      </c>
      <c r="J4" s="5" t="inlineStr">
        <is>
          <t>References</t>
        </is>
      </c>
      <c r="K4" s="5" t="inlineStr">
        <is>
          <t>Remarks</t>
        </is>
      </c>
    </row>
    <row r="5">
      <c r="A5" s="6" t="inlineStr">
        <is>
          <t>Framework Controls</t>
        </is>
      </c>
      <c r="B5" s="7" t="inlineStr">
        <is>
          <t>Applicable control definitions loaded into context for the assessed application</t>
        </is>
      </c>
      <c r="C5" s="7" t="inlineStr">
        <is>
          <t>300 controls × 50 tokens</t>
        </is>
      </c>
      <c r="D5" s="8" t="n">
        <v>15000</v>
      </c>
      <c r="E5" s="8" t="n">
        <v>12000</v>
      </c>
      <c r="F5" s="8" t="n">
        <v>15000</v>
      </c>
      <c r="G5" s="8" t="n">
        <v>18000</v>
      </c>
      <c r="H5" s="7" t="inlineStr">
        <is>
          <t>≈300 in-scope controls across frameworks; ~50 tokens per control text</t>
        </is>
      </c>
      <c r="I5" s="7" t="inlineStr">
        <is>
          <t>Control library spans PCI DSS, DPSC, C-SITE, ITPP, RBI Cyber Security, ISO 27001</t>
        </is>
      </c>
      <c r="J5" s="7" t="inlineStr">
        <is>
          <t>Sheet 7 §Control tokens; ECS control catalog (167+ predefined controls)</t>
        </is>
      </c>
      <c r="K5" s="7" t="inlineStr">
        <is>
          <t>Grows with framework scope; capped by per-app applicability</t>
        </is>
      </c>
    </row>
    <row r="6">
      <c r="A6" s="9" t="inlineStr">
        <is>
          <t>Evidence Repository</t>
        </is>
      </c>
      <c r="B6" s="10" t="inlineStr">
        <is>
          <t>Representative evidence packs (config, logs, attestations) retrieved via RAG</t>
        </is>
      </c>
      <c r="C6" s="10" t="inlineStr">
        <is>
          <t>5 evidence packs × 8,000 tokens</t>
        </is>
      </c>
      <c r="D6" s="11" t="n">
        <v>40000</v>
      </c>
      <c r="E6" s="11" t="n">
        <v>30000</v>
      </c>
      <c r="F6" s="11" t="n">
        <v>40000</v>
      </c>
      <c r="G6" s="11" t="n">
        <v>55000</v>
      </c>
      <c r="H6" s="10" t="inlineStr">
        <is>
          <t>5 evidence packs per request; ~8,000 tokens per pack after chunking</t>
        </is>
      </c>
      <c r="I6" s="10" t="inlineStr">
        <is>
          <t>Encryption, backup, patch, VA/PT and access-review evidence dominate context</t>
        </is>
      </c>
      <c r="J6" s="10" t="inlineStr">
        <is>
          <t>Sheet 7 §Evidence tokens; Evidence Repository (versioned artifacts)</t>
        </is>
      </c>
      <c r="K6" s="10" t="inlineStr">
        <is>
          <t>Largest single driver; controlled by top-k retrieval</t>
        </is>
      </c>
    </row>
    <row r="7">
      <c r="A7" s="6" t="inlineStr">
        <is>
          <t>Historical Observations</t>
        </is>
      </c>
      <c r="B7" s="7" t="inlineStr">
        <is>
          <t>Prior audit findings, remediation notes and closure evidence for continuity</t>
        </is>
      </c>
      <c r="C7" s="7" t="inlineStr">
        <is>
          <t>20 observations × 1,000 tokens</t>
        </is>
      </c>
      <c r="D7" s="8" t="n">
        <v>20000</v>
      </c>
      <c r="E7" s="8" t="n">
        <v>12000</v>
      </c>
      <c r="F7" s="8" t="n">
        <v>20000</v>
      </c>
      <c r="G7" s="8" t="n">
        <v>30000</v>
      </c>
      <c r="H7" s="7" t="inlineStr">
        <is>
          <t>≈20 prior observations recalled; ~1,000 tokens each incl. remediation</t>
        </is>
      </c>
      <c r="I7" s="7" t="inlineStr">
        <is>
          <t>Repeat-finding detection and trend analysis require historical context</t>
        </is>
      </c>
      <c r="J7" s="7" t="inlineStr">
        <is>
          <t>Sheet 7 §Observation tokens; Observation store</t>
        </is>
      </c>
      <c r="K7" s="7" t="inlineStr">
        <is>
          <t>Scales with application audit history</t>
        </is>
      </c>
    </row>
    <row r="8">
      <c r="A8" s="9" t="inlineStr">
        <is>
          <t>Control Mapping</t>
        </is>
      </c>
      <c r="B8" s="10" t="inlineStr">
        <is>
          <t>Cross-framework control-to-control reuse mapping to avoid duplicate evidence</t>
        </is>
      </c>
      <c r="C8" s="10" t="inlineStr">
        <is>
          <t>300 mappings × 50 tokens</t>
        </is>
      </c>
      <c r="D8" s="11" t="n">
        <v>15000</v>
      </c>
      <c r="E8" s="11" t="n">
        <v>12000</v>
      </c>
      <c r="F8" s="11" t="n">
        <v>15000</v>
      </c>
      <c r="G8" s="11" t="n">
        <v>18000</v>
      </c>
      <c r="H8" s="10" t="inlineStr">
        <is>
          <t>≈300 mapping edges; ~50 tokens per mapping row</t>
        </is>
      </c>
      <c r="I8" s="10" t="inlineStr">
        <is>
          <t>Technology→Control→Framework graph enables evidence reuse across frameworks</t>
        </is>
      </c>
      <c r="J8" s="10" t="inlineStr">
        <is>
          <t>Sheet 7 §Mapping tokens; Technology-Control mapping engine</t>
        </is>
      </c>
      <c r="K8" s="10" t="inlineStr">
        <is>
          <t>Proportional to control count and framework overlap</t>
        </is>
      </c>
    </row>
    <row r="9">
      <c r="A9" s="6" t="inlineStr">
        <is>
          <t>Risk Records</t>
        </is>
      </c>
      <c r="B9" s="7" t="inlineStr">
        <is>
          <t>Risk acceptance forms, exceptions and compensating controls in scope</t>
        </is>
      </c>
      <c r="C9" s="7" t="inlineStr">
        <is>
          <t>20 risks × 500 tokens</t>
        </is>
      </c>
      <c r="D9" s="8" t="n">
        <v>10000</v>
      </c>
      <c r="E9" s="8" t="n">
        <v>6000</v>
      </c>
      <c r="F9" s="8" t="n">
        <v>10000</v>
      </c>
      <c r="G9" s="8" t="n">
        <v>15000</v>
      </c>
      <c r="H9" s="7" t="inlineStr">
        <is>
          <t>≈20 risk records; ~500 tokens each (RAF + rationale)</t>
        </is>
      </c>
      <c r="I9" s="7" t="inlineStr">
        <is>
          <t>Risk posture and exception context influence assessment conclusions</t>
        </is>
      </c>
      <c r="J9" s="7" t="inlineStr">
        <is>
          <t>Sheet 7 §Risk tokens; Enterprise GRC risk register</t>
        </is>
      </c>
      <c r="K9" s="7" t="inlineStr">
        <is>
          <t>Bank risk appetite dependent</t>
        </is>
      </c>
    </row>
    <row r="10">
      <c r="A10" s="9" t="inlineStr">
        <is>
          <t>Prompt + Metadata</t>
        </is>
      </c>
      <c r="B10" s="10" t="inlineStr">
        <is>
          <t>System prompt, RBAC context, application metadata and instruction scaffolding</t>
        </is>
      </c>
      <c r="C10" s="10" t="inlineStr">
        <is>
          <t>System prompt + context frame</t>
        </is>
      </c>
      <c r="D10" s="11" t="n">
        <v>25000</v>
      </c>
      <c r="E10" s="11" t="n">
        <v>20000</v>
      </c>
      <c r="F10" s="11" t="n">
        <v>25000</v>
      </c>
      <c r="G10" s="11" t="n">
        <v>32000</v>
      </c>
      <c r="H10" s="10" t="inlineStr">
        <is>
          <t>Fixed instruction/system overhead + per-request metadata</t>
        </is>
      </c>
      <c r="I10" s="10" t="inlineStr">
        <is>
          <t>Ensures deterministic, governed, role-aware responses</t>
        </is>
      </c>
      <c r="J10" s="10" t="inlineStr">
        <is>
          <t>Sheet 7 §Prompt tokens; ECS prompt builder</t>
        </is>
      </c>
      <c r="K10" s="10" t="inlineStr">
        <is>
          <t>Relatively fixed per request</t>
        </is>
      </c>
    </row>
    <row r="11">
      <c r="A11" s="12" t="inlineStr">
        <is>
          <t>Subtotal (components)</t>
        </is>
      </c>
      <c r="B11" s="13" t="inlineStr">
        <is>
          <t>Sum of all input components</t>
        </is>
      </c>
      <c r="C11" s="13" t="inlineStr">
        <is>
          <t>SUM of rows above</t>
        </is>
      </c>
      <c r="D11" s="14">
        <f>SUM(D5:D10)</f>
        <v/>
      </c>
      <c r="E11" s="14">
        <f>SUM(E5:E10)</f>
        <v/>
      </c>
      <c r="F11" s="14">
        <f>SUM(F5:F10)</f>
        <v/>
      </c>
      <c r="G11" s="14">
        <f>SUM(G5:G10)</f>
        <v/>
      </c>
      <c r="H11" s="13" t="inlineStr"/>
      <c r="I11" s="13" t="inlineStr"/>
      <c r="J11" s="13" t="inlineStr"/>
      <c r="K11" s="13" t="inlineStr">
        <is>
          <t>Must equal the Grand Total</t>
        </is>
      </c>
    </row>
    <row r="12">
      <c r="A12" s="15" t="inlineStr">
        <is>
          <t>GRAND TOTAL — INPUT TOKENS</t>
        </is>
      </c>
      <c r="B12" s="15" t="inlineStr">
        <is>
          <t>Reconciled input-token envelope per request</t>
        </is>
      </c>
      <c r="C12" s="15">
        <f> Subtotal</f>
        <v/>
      </c>
      <c r="D12" s="16">
        <f>D11</f>
        <v/>
      </c>
      <c r="E12" s="16">
        <f>E11</f>
        <v/>
      </c>
      <c r="F12" s="16">
        <f>F11</f>
        <v/>
      </c>
      <c r="G12" s="16">
        <f>G11</f>
        <v/>
      </c>
      <c r="H12" s="15" t="inlineStr">
        <is>
          <t>Target design point for NEEV sizing</t>
        </is>
      </c>
      <c r="I12" s="15" t="inlineStr">
        <is>
          <t>Feeds Sheet 4 (Weighted Tokens)</t>
        </is>
      </c>
      <c r="J12" s="15" t="inlineStr">
        <is>
          <t>Sheet 4 §Input Tokens</t>
        </is>
      </c>
      <c r="K12" s="15" t="inlineStr">
        <is>
          <t>Reconciles to 125,000</t>
        </is>
      </c>
    </row>
    <row r="14" ht="24" customHeight="1">
      <c r="A14" s="17" t="inlineStr">
        <is>
          <t>Reconciliation: Expected column sums to 125,000 tokens (15,000 + 40,000 + 20,000 + 15,000 + 10,000 + 25,000). Conservative and Peak columns bracket the design point for sensitivity. Every value is derived from a stated unit rate × volume (see Sheet 7 — Assumptions &amp; Methodology).</t>
        </is>
      </c>
    </row>
  </sheetData>
  <mergeCells count="3">
    <mergeCell ref="A2:K2"/>
    <mergeCell ref="A14:K14"/>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C18" sqref="C18"/>
    </sheetView>
  </sheetViews>
  <sheetFormatPr baseColWidth="10" defaultColWidth="8.83203125" defaultRowHeight="21"/>
  <cols>
    <col width="22" customWidth="1" min="1" max="1"/>
    <col width="26" customWidth="1" min="2" max="2"/>
    <col width="46" customWidth="1" min="3" max="3"/>
    <col width="14" customWidth="1" min="4" max="4"/>
    <col width="12" customWidth="1" min="5" max="5"/>
    <col width="46" customWidth="1" min="6" max="6"/>
    <col width="26" customWidth="1" min="7" max="7"/>
  </cols>
  <sheetData>
    <row r="1" ht="26" customHeight="1">
      <c r="A1" s="3" t="inlineStr">
        <is>
          <t>Sheet 2 — Output Token Breakdown</t>
        </is>
      </c>
    </row>
    <row r="2" ht="16" customHeight="1">
      <c r="A2" s="4" t="inlineStr">
        <is>
          <t>Typical (~13,000) and worst-case (50,000) generated-token envelope per ECS AI request</t>
        </is>
      </c>
    </row>
    <row r="4" ht="30" customHeight="1">
      <c r="A4" s="5" t="inlineStr">
        <is>
          <t>Artifact</t>
        </is>
      </c>
      <c r="B4" s="5" t="inlineStr">
        <is>
          <t>Formula</t>
        </is>
      </c>
      <c r="C4" s="5" t="inlineStr">
        <is>
          <t>Assumptions</t>
        </is>
      </c>
      <c r="D4" s="5" t="inlineStr">
        <is>
          <t>Typical Tokens</t>
        </is>
      </c>
      <c r="E4" s="5" t="inlineStr">
        <is>
          <t>Peak Tokens</t>
        </is>
      </c>
      <c r="F4" s="5" t="inlineStr">
        <is>
          <t>Justification</t>
        </is>
      </c>
      <c r="G4" s="5" t="inlineStr">
        <is>
          <t>Remarks</t>
        </is>
      </c>
    </row>
    <row r="5">
      <c r="A5" s="6" t="inlineStr">
        <is>
          <t>Executive Summary</t>
        </is>
      </c>
      <c r="B5" s="7" t="inlineStr">
        <is>
          <t>4 pages × 500 tokens</t>
        </is>
      </c>
      <c r="C5" s="7" t="inlineStr">
        <is>
          <t>Board-level narrative, 4 pages</t>
        </is>
      </c>
      <c r="D5" s="8" t="n">
        <v>2000</v>
      </c>
      <c r="E5" s="8" t="n">
        <v>3000</v>
      </c>
      <c r="F5" s="7" t="inlineStr">
        <is>
          <t>Concise CIO/ARB summary of posture</t>
        </is>
      </c>
      <c r="G5" s="7" t="inlineStr">
        <is>
          <t>Fixed structure</t>
        </is>
      </c>
    </row>
    <row r="6">
      <c r="A6" s="9" t="inlineStr">
        <is>
          <t>Control Assessment</t>
        </is>
      </c>
      <c r="B6" s="10" t="inlineStr">
        <is>
          <t>Per-control verdicts (concise)</t>
        </is>
      </c>
      <c r="C6" s="10" t="inlineStr">
        <is>
          <t>Assessed controls summarised</t>
        </is>
      </c>
      <c r="D6" s="11" t="n">
        <v>1000</v>
      </c>
      <c r="E6" s="11" t="n">
        <v>6000</v>
      </c>
      <c r="F6" s="10" t="inlineStr">
        <is>
          <t>PASS/FAIL/WARNING with evidence refs</t>
        </is>
      </c>
      <c r="G6" s="10" t="inlineStr">
        <is>
          <t>Scales with control count</t>
        </is>
      </c>
    </row>
    <row r="7">
      <c r="A7" s="6" t="inlineStr">
        <is>
          <t>Risk Analysis</t>
        </is>
      </c>
      <c r="B7" s="7" t="inlineStr">
        <is>
          <t>Risk posture narrative</t>
        </is>
      </c>
      <c r="C7" s="7" t="inlineStr">
        <is>
          <t>Top risks + heat framing</t>
        </is>
      </c>
      <c r="D7" s="8" t="n">
        <v>1000</v>
      </c>
      <c r="E7" s="8" t="n">
        <v>4000</v>
      </c>
      <c r="F7" s="7" t="inlineStr">
        <is>
          <t>Links findings to enterprise risk</t>
        </is>
      </c>
      <c r="G7" s="7" t="inlineStr">
        <is>
          <t>Bank-appetite dependent</t>
        </is>
      </c>
    </row>
    <row r="8">
      <c r="A8" s="9" t="inlineStr">
        <is>
          <t>Findings</t>
        </is>
      </c>
      <c r="B8" s="10" t="inlineStr">
        <is>
          <t>20 findings × 150 tokens</t>
        </is>
      </c>
      <c r="C8" s="10" t="inlineStr">
        <is>
          <t>≈20 compliance gaps</t>
        </is>
      </c>
      <c r="D8" s="11" t="n">
        <v>3000</v>
      </c>
      <c r="E8" s="11" t="n">
        <v>6000</v>
      </c>
      <c r="F8" s="10" t="inlineStr">
        <is>
          <t>Gap statements with control mapping</t>
        </is>
      </c>
      <c r="G8" s="10" t="inlineStr">
        <is>
          <t>Volume driven</t>
        </is>
      </c>
    </row>
    <row r="9">
      <c r="A9" s="6" t="inlineStr">
        <is>
          <t>Recommendations</t>
        </is>
      </c>
      <c r="B9" s="7" t="inlineStr">
        <is>
          <t>20 recommendations × 150 tokens</t>
        </is>
      </c>
      <c r="C9" s="7" t="inlineStr">
        <is>
          <t>≈20 remediation items</t>
        </is>
      </c>
      <c r="D9" s="8" t="n">
        <v>3000</v>
      </c>
      <c r="E9" s="8" t="n">
        <v>6000</v>
      </c>
      <c r="F9" s="7" t="inlineStr">
        <is>
          <t>Actionable remediation guidance</t>
        </is>
      </c>
      <c r="G9" s="7" t="inlineStr">
        <is>
          <t>Paired with findings</t>
        </is>
      </c>
    </row>
    <row r="10">
      <c r="A10" s="9" t="inlineStr">
        <is>
          <t>Observation Drafts</t>
        </is>
      </c>
      <c r="B10" s="10" t="inlineStr">
        <is>
          <t>10 core observations × 200 tokens</t>
        </is>
      </c>
      <c r="C10" s="10" t="inlineStr">
        <is>
          <t>≈10 priority drafts (typical)</t>
        </is>
      </c>
      <c r="D10" s="11" t="n">
        <v>2000</v>
      </c>
      <c r="E10" s="11" t="n">
        <v>8000</v>
      </c>
      <c r="F10" s="10" t="inlineStr">
        <is>
          <t>Draft audit observations for workflow</t>
        </is>
      </c>
      <c r="G10" s="10" t="inlineStr">
        <is>
          <t>Full 25 at peak (5,000)</t>
        </is>
      </c>
    </row>
    <row r="11">
      <c r="A11" s="6" t="inlineStr">
        <is>
          <t>Executive Notes</t>
        </is>
      </c>
      <c r="B11" s="7" t="inlineStr">
        <is>
          <t>Governance + sign-off notes</t>
        </is>
      </c>
      <c r="C11" s="7" t="inlineStr">
        <is>
          <t>Approval-oriented notes</t>
        </is>
      </c>
      <c r="D11" s="8" t="n">
        <v>1000</v>
      </c>
      <c r="E11" s="8" t="n">
        <v>3000</v>
      </c>
      <c r="F11" s="7" t="inlineStr">
        <is>
          <t>Decision context for approvers</t>
        </is>
      </c>
      <c r="G11" s="7" t="inlineStr">
        <is>
          <t>Governance overhead</t>
        </is>
      </c>
    </row>
    <row r="12">
      <c r="A12" s="12" t="inlineStr">
        <is>
          <t>Typical ECS Output</t>
        </is>
      </c>
      <c r="B12" s="13" t="inlineStr">
        <is>
          <t>Sum of core artifacts</t>
        </is>
      </c>
      <c r="C12" s="13" t="inlineStr">
        <is>
          <t>Normal enterprise response</t>
        </is>
      </c>
      <c r="D12" s="14">
        <f>SUM(D5:D11)</f>
        <v/>
      </c>
      <c r="E12" s="14">
        <f>SUM(E5:E11)</f>
        <v/>
      </c>
      <c r="F12" s="13" t="inlineStr">
        <is>
          <t>Represents the everyday generated payload</t>
        </is>
      </c>
      <c r="G12" s="13" t="inlineStr">
        <is>
          <t>≈13,000 typical tokens</t>
        </is>
      </c>
    </row>
    <row r="13">
      <c r="A13" s="6" t="inlineStr">
        <is>
          <t>Enterprise Buffer</t>
        </is>
      </c>
      <c r="B13" s="7" t="inlineStr">
        <is>
          <t>Worst Case − Typical</t>
        </is>
      </c>
      <c r="C13" s="7" t="inlineStr">
        <is>
          <t>Detailed appendices + expansions</t>
        </is>
      </c>
      <c r="D13" s="18">
        <f>D14-D12</f>
        <v/>
      </c>
      <c r="E13" s="8">
        <f>D14-D12</f>
        <v/>
      </c>
      <c r="F13" s="7" t="inlineStr">
        <is>
          <t>Additional worst-case output originates from exhaustive cross-framework mapping tables, verbose evidence citation, repeat-finding appendices and large multi-application enterprise roll-ups</t>
        </is>
      </c>
      <c r="G13" s="7" t="inlineStr">
        <is>
          <t>≈37,000 tokens above typical</t>
        </is>
      </c>
    </row>
    <row r="14">
      <c r="A14" s="15" t="inlineStr">
        <is>
          <t>Worst Case Output</t>
        </is>
      </c>
      <c r="B14" s="15" t="inlineStr">
        <is>
          <t>Typical + Enterprise Buffer</t>
        </is>
      </c>
      <c r="C14" s="15" t="inlineStr">
        <is>
          <t>Large enterprise assessment</t>
        </is>
      </c>
      <c r="D14" s="16" t="n">
        <v>50000</v>
      </c>
      <c r="E14" s="16" t="n">
        <v>50000</v>
      </c>
      <c r="F14" s="15" t="inlineStr">
        <is>
          <t>Upper design bound used for conservative NEEV capacity sizing</t>
        </is>
      </c>
      <c r="G14" s="15" t="inlineStr">
        <is>
          <t>Reconciles to 50,000 tokens</t>
        </is>
      </c>
    </row>
    <row r="16" ht="48" customHeight="1">
      <c r="A16" s="17" t="inlineStr">
        <is>
          <t>Where extra output comes from: worst-case (50,000) = typical (~13,000) + enterprise buffer (~37,000). The buffer captures exhaustive cross-framework mapping, verbose evidence citation, repeat-finding appendices and multi-application enterprise roll-ups. NEEV sizing deliberately uses the 50,000 worst case for headroom (see Sheet 4).</t>
        </is>
      </c>
    </row>
  </sheetData>
  <mergeCells count="3">
    <mergeCell ref="A16:G16"/>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showGridLines="0" workbookViewId="0">
      <pane ySplit="4" topLeftCell="A5" activePane="bottomLeft" state="frozen"/>
      <selection pane="bottomLeft" activeCell="B5" sqref="B5"/>
    </sheetView>
  </sheetViews>
  <sheetFormatPr baseColWidth="10" defaultColWidth="8.83203125" defaultRowHeight="21"/>
  <cols>
    <col width="24" customWidth="1" min="1" max="1"/>
    <col width="18" customWidth="1" min="2" max="2"/>
    <col width="16" customWidth="1" min="3" max="3"/>
    <col width="20" customWidth="1" min="4" max="4"/>
    <col width="20" customWidth="1" min="5" max="5"/>
    <col width="20" customWidth="1" min="6" max="6"/>
    <col width="16" customWidth="1" min="7" max="7"/>
    <col width="14" customWidth="1" min="8" max="8"/>
    <col width="24" customWidth="1" min="9" max="9"/>
    <col width="26" customWidth="1" min="10" max="10"/>
    <col width="24" customWidth="1" min="11" max="11"/>
    <col width="20" customWidth="1" min="12" max="12"/>
    <col width="34" customWidth="1" min="13" max="13"/>
  </cols>
  <sheetData>
    <row r="1" ht="26" customHeight="1">
      <c r="A1" s="3" t="inlineStr">
        <is>
          <t>Sheet 3 — Local LLM Hardware</t>
        </is>
      </c>
    </row>
    <row r="2" ht="16" customHeight="1">
      <c r="A2" s="4" t="inlineStr">
        <is>
          <t>Three deployment options for on-prem/local inference, with cost, capacity and phase fit</t>
        </is>
      </c>
    </row>
    <row r="4" ht="30" customHeight="1">
      <c r="A4" s="5" t="inlineStr">
        <is>
          <t>Option</t>
        </is>
      </c>
      <c r="B4" s="5" t="inlineStr">
        <is>
          <t>CPU</t>
        </is>
      </c>
      <c r="C4" s="5" t="inlineStr">
        <is>
          <t>RAM</t>
        </is>
      </c>
      <c r="D4" s="5" t="inlineStr">
        <is>
          <t>GPU</t>
        </is>
      </c>
      <c r="E4" s="5" t="inlineStr">
        <is>
          <t>Storage</t>
        </is>
      </c>
      <c r="F4" s="5" t="inlineStr">
        <is>
          <t>Approx Cost</t>
        </is>
      </c>
      <c r="G4" s="5" t="inlineStr">
        <is>
          <t>Estimated TPM</t>
        </is>
      </c>
      <c r="H4" s="5" t="inlineStr">
        <is>
          <t>Concurrent Users</t>
        </is>
      </c>
      <c r="I4" s="5" t="inlineStr">
        <is>
          <t>Deployment Scenario</t>
        </is>
      </c>
      <c r="J4" s="5" t="inlineStr">
        <is>
          <t>Advantages</t>
        </is>
      </c>
      <c r="K4" s="5" t="inlineStr">
        <is>
          <t>Limitations</t>
        </is>
      </c>
      <c r="L4" s="5" t="inlineStr">
        <is>
          <t>Recommended ECS Phase</t>
        </is>
      </c>
      <c r="M4" s="5" t="inlineStr">
        <is>
          <t>Justification</t>
        </is>
      </c>
    </row>
    <row r="5" ht="78" customHeight="1">
      <c r="A5" s="6" t="inlineStr">
        <is>
          <t>Option 1 — Developer Laptop</t>
        </is>
      </c>
      <c r="B5" s="7" t="inlineStr">
        <is>
          <t>Apple M2/M3 (8-12 core)</t>
        </is>
      </c>
      <c r="C5" s="7" t="inlineStr">
        <is>
          <t>16-32 GB unified</t>
        </is>
      </c>
      <c r="D5" s="7" t="inlineStr">
        <is>
          <t>Integrated (no discrete GPU)</t>
        </is>
      </c>
      <c r="E5" s="7" t="inlineStr">
        <is>
          <t>512 GB - 1 TB SSD</t>
        </is>
      </c>
      <c r="F5" s="7" t="inlineStr">
        <is>
          <t>₹0 (existing) - ₹2.5 Lakh</t>
        </is>
      </c>
      <c r="G5" s="7" t="inlineStr">
        <is>
          <t>20,000 - 50,000</t>
        </is>
      </c>
      <c r="H5" s="7" t="inlineStr">
        <is>
          <t>1 (developer)</t>
        </is>
      </c>
      <c r="I5" s="7" t="inlineStr">
        <is>
          <t>POC, developer testing, prompt engineering</t>
        </is>
      </c>
      <c r="J5" s="7" t="inlineStr">
        <is>
          <t>Zero incremental cost; fully local; fast iteration</t>
        </is>
      </c>
      <c r="K5" s="7" t="inlineStr">
        <is>
          <t>Not for concurrent/production load; 5-15 s latency</t>
        </is>
      </c>
      <c r="L5" s="7" t="inlineStr">
        <is>
          <t>Phase 0 / Phase 1 (Dev)</t>
        </is>
      </c>
      <c r="M5" s="7" t="inlineStr">
        <is>
          <t>GPU optional here: single-user dev workloads run acceptably on unified memory</t>
        </is>
      </c>
    </row>
    <row r="6" ht="78" customHeight="1">
      <c r="A6" s="9" t="inlineStr">
        <is>
          <t>Option 2 — Shared ECS AI Server</t>
        </is>
      </c>
      <c r="B6" s="10" t="inlineStr">
        <is>
          <t>32 core (2S x86)</t>
        </is>
      </c>
      <c r="C6" s="10" t="inlineStr">
        <is>
          <t>128 GB ECC</t>
        </is>
      </c>
      <c r="D6" s="10" t="inlineStr">
        <is>
          <t>1 x NVIDIA L40S 48 GB</t>
        </is>
      </c>
      <c r="E6" s="10" t="inlineStr">
        <is>
          <t>1-2 TB NVMe SSD</t>
        </is>
      </c>
      <c r="F6" s="10" t="inlineStr">
        <is>
          <t>₹12 - 18 Lakh</t>
        </is>
      </c>
      <c r="G6" s="10" t="inlineStr">
        <is>
          <t>250,000 - 500,000</t>
        </is>
      </c>
      <c r="H6" s="10" t="inlineStr">
        <is>
          <t>25 - 75</t>
        </is>
      </c>
      <c r="I6" s="10" t="inlineStr">
        <is>
          <t>Phase 1 / Phase 2 shared inference for pilot + UAT</t>
        </is>
      </c>
      <c r="J6" s="10" t="inlineStr">
        <is>
          <t>Meets NEEV 1.725M TPM with batching; on-prem data control</t>
        </is>
      </c>
      <c r="K6" s="10" t="inlineStr">
        <is>
          <t>Single-node ceiling; needs HA for production</t>
        </is>
      </c>
      <c r="L6" s="10" t="inlineStr">
        <is>
          <t>Phase 1 &amp; Phase 2 (SIT/UAT/early PROD)</t>
        </is>
      </c>
      <c r="M6" s="10" t="inlineStr">
        <is>
          <t>GPU becomes mandatory here: concurrent multi-user, sub-5 s latency at NEEV scale</t>
        </is>
      </c>
    </row>
    <row r="7" ht="78" customHeight="1">
      <c r="A7" s="6" t="inlineStr">
        <is>
          <t>Option 3 — Enterprise AI Cluster</t>
        </is>
      </c>
      <c r="B7" s="7" t="inlineStr">
        <is>
          <t>Multi-node (4-8 x 32-64 core)</t>
        </is>
      </c>
      <c r="C7" s="7" t="inlineStr">
        <is>
          <t>256 GB - 1 TB per node</t>
        </is>
      </c>
      <c r="D7" s="7" t="inlineStr">
        <is>
          <t>Multi-GPU L40S / H100 (per node)</t>
        </is>
      </c>
      <c r="E7" s="7" t="inlineStr">
        <is>
          <t>2-8 TB NVMe + shared storage</t>
        </is>
      </c>
      <c r="F7" s="7" t="inlineStr">
        <is>
          <t>₹40 - 80 Lakh</t>
        </is>
      </c>
      <c r="G7" s="7" t="inlineStr">
        <is>
          <t>1,000,000+</t>
        </is>
      </c>
      <c r="H7" s="7" t="inlineStr">
        <is>
          <t>500+</t>
        </is>
      </c>
      <c r="I7" s="7" t="inlineStr">
        <is>
          <t>Pan-India production rollout with HA/DR</t>
        </is>
      </c>
      <c r="J7" s="7" t="inlineStr">
        <is>
          <t>Horizontal scale, redundancy, sustained &lt;3 s latency</t>
        </is>
      </c>
      <c r="K7" s="7" t="inlineStr">
        <is>
          <t>Highest CapEx; requires MLOps + data-centre ops</t>
        </is>
      </c>
      <c r="L7" s="7" t="inlineStr">
        <is>
          <t>Phase 3 (Enterprise PROD)</t>
        </is>
      </c>
      <c r="M7" s="7" t="inlineStr">
        <is>
          <t>GPU mandatory and scaled out: pan-India concurrency and resilience targets</t>
        </is>
      </c>
    </row>
    <row r="9" ht="20" customHeight="1">
      <c r="A9" s="19" t="inlineStr">
        <is>
          <t>GPU Guidance — why GPU is optional for Phase 1, and when it becomes mandatory</t>
        </is>
      </c>
    </row>
    <row r="10" ht="24" customHeight="1">
      <c r="A10" s="17" t="inlineStr">
        <is>
          <t>Phase 1 (single-user developer testing): GPU is OPTIONAL. Unified-memory laptops and CPU-only servers can serve a single user for POC and prompt engineering at 5-15 s latency, so no discrete GPU spend is required to prove the workflow.</t>
        </is>
      </c>
    </row>
    <row r="11" ht="36" customHeight="1">
      <c r="A11" s="17" t="inlineStr">
        <is>
          <t>GPU becomes MANDATORY when any of the following is true: (a) concurrent users exceed ~5-10, (b) target latency is &lt; 5 s, (c) sustained throughput approaches the NEEV 1.725M TPM design point, or (d) worst-case 50,000-token generations must complete within SLA. From Phase 1 shared inference (Option 2) onward, an L40S-class GPU is required; Phase 3 scales GPUs horizontally.</t>
        </is>
      </c>
    </row>
  </sheetData>
  <mergeCells count="5">
    <mergeCell ref="A1:M1"/>
    <mergeCell ref="A9:M9"/>
    <mergeCell ref="A2:M2"/>
    <mergeCell ref="A11:M11"/>
    <mergeCell ref="A10:M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showGridLines="0" workbookViewId="0">
      <pane ySplit="3" topLeftCell="A4" activePane="bottomLeft" state="frozen"/>
      <selection pane="bottomLeft" activeCell="B10" sqref="B10"/>
    </sheetView>
  </sheetViews>
  <sheetFormatPr baseColWidth="10" defaultColWidth="8.83203125" defaultRowHeight="21"/>
  <cols>
    <col width="26" customWidth="1" min="1" max="1"/>
    <col width="18" customWidth="1" min="2" max="2"/>
    <col width="22" customWidth="1" min="3" max="3"/>
    <col width="34" customWidth="1" min="4" max="4"/>
    <col width="40" customWidth="1" min="5" max="5"/>
  </cols>
  <sheetData>
    <row r="1" ht="26" customHeight="1">
      <c r="A1" s="3" t="inlineStr">
        <is>
          <t>Sheet 4 — NEEV Capacity Model</t>
        </is>
      </c>
    </row>
    <row r="2" ht="16" customHeight="1">
      <c r="A2" s="4" t="inlineStr">
        <is>
          <t>Weighted-token methodology and RPM→TPM sizing; design point 3 RPM = 1,725,000 TPM</t>
        </is>
      </c>
    </row>
    <row r="4" ht="20" customHeight="1">
      <c r="A4" s="19" t="inlineStr">
        <is>
          <t>Capacity Parameters</t>
        </is>
      </c>
    </row>
    <row r="5" ht="30" customHeight="1">
      <c r="A5" s="5" t="inlineStr">
        <is>
          <t>Parameter</t>
        </is>
      </c>
      <c r="B5" s="5" t="inlineStr">
        <is>
          <t>Value</t>
        </is>
      </c>
      <c r="C5" s="5" t="inlineStr">
        <is>
          <t>Formula / Source</t>
        </is>
      </c>
      <c r="D5" s="5" t="inlineStr">
        <is>
          <t>Assumption</t>
        </is>
      </c>
      <c r="E5" s="5" t="inlineStr">
        <is>
          <t>Justification</t>
        </is>
      </c>
    </row>
    <row r="6">
      <c r="A6" s="6" t="inlineStr">
        <is>
          <t>Input Tokens</t>
        </is>
      </c>
      <c r="B6" s="8" t="n">
        <v>125000</v>
      </c>
      <c r="C6" s="7" t="inlineStr">
        <is>
          <t>Sheet 1 Grand Total</t>
        </is>
      </c>
      <c r="D6" s="7" t="inlineStr">
        <is>
          <t>Design input envelope</t>
        </is>
      </c>
      <c r="E6" s="7" t="inlineStr">
        <is>
          <t>Reconciled component build-up (Sheet 1)</t>
        </is>
      </c>
    </row>
    <row r="7">
      <c r="A7" s="9" t="inlineStr">
        <is>
          <t>Output Tokens</t>
        </is>
      </c>
      <c r="B7" s="11" t="n">
        <v>50000</v>
      </c>
      <c r="C7" s="10" t="inlineStr">
        <is>
          <t>Sheet 2 Worst Case</t>
        </is>
      </c>
      <c r="D7" s="10" t="inlineStr">
        <is>
          <t>Conservative worst case</t>
        </is>
      </c>
      <c r="E7" s="10" t="inlineStr">
        <is>
          <t>Upper bound for headroom (Sheet 2)</t>
        </is>
      </c>
    </row>
    <row r="8">
      <c r="A8" s="6" t="inlineStr">
        <is>
          <t>Output Weighting (×)</t>
        </is>
      </c>
      <c r="B8" s="8" t="n">
        <v>9</v>
      </c>
      <c r="C8" s="7" t="inlineStr">
        <is>
          <t>NEEV weighting factor</t>
        </is>
      </c>
      <c r="D8" s="7" t="inlineStr">
        <is>
          <t>Output is 9× costlier than input</t>
        </is>
      </c>
      <c r="E8" s="7" t="inlineStr">
        <is>
          <t>Autoregressive decode: each output token attends to the full context and is generated sequentially (no batching across positions), unlike parallel input pre-fill</t>
        </is>
      </c>
    </row>
    <row r="9">
      <c r="A9" s="20" t="inlineStr">
        <is>
          <t>Weighted Tokens / Request</t>
        </is>
      </c>
      <c r="B9" s="21">
        <f>B6+(B8*B7)</f>
        <v/>
      </c>
      <c r="C9" s="22" t="inlineStr">
        <is>
          <t>Input + (9 × Output)</t>
        </is>
      </c>
      <c r="D9" s="22" t="inlineStr">
        <is>
          <t>Effective token cost per request</t>
        </is>
      </c>
      <c r="E9" s="22" t="inlineStr">
        <is>
          <t>125,000 + (9 × 50,000) = 575,000</t>
        </is>
      </c>
    </row>
    <row r="11" ht="20" customHeight="1">
      <c r="A11" s="19" t="inlineStr">
        <is>
          <t>Requests-per-Minute (RPM) → Tokens-per-Minute (TPM) Scenarios</t>
        </is>
      </c>
    </row>
    <row r="12" ht="30" customHeight="1">
      <c r="A12" s="5" t="inlineStr">
        <is>
          <t>Scenario (RPM)</t>
        </is>
      </c>
      <c r="B12" s="5" t="inlineStr">
        <is>
          <t>Weighted Tokens</t>
        </is>
      </c>
      <c r="C12" s="5" t="inlineStr">
        <is>
          <t>TPM = Weighted × RPM</t>
        </is>
      </c>
      <c r="D12" s="5" t="inlineStr">
        <is>
          <t>Assumption</t>
        </is>
      </c>
      <c r="E12" s="5" t="inlineStr">
        <is>
          <t>Remark</t>
        </is>
      </c>
    </row>
    <row r="13">
      <c r="A13" s="6" t="inlineStr">
        <is>
          <t>1 RPM</t>
        </is>
      </c>
      <c r="B13" s="8">
        <f>B9</f>
        <v/>
      </c>
      <c r="C13" s="8">
        <f>B9*1</f>
        <v/>
      </c>
      <c r="D13" s="23" t="inlineStr">
        <is>
          <t>1 concurrent request(s)/min</t>
        </is>
      </c>
      <c r="E13" s="23" t="inlineStr">
        <is>
          <t>Sensitivity scenario</t>
        </is>
      </c>
    </row>
    <row r="14">
      <c r="A14" s="9" t="inlineStr">
        <is>
          <t>2 RPM</t>
        </is>
      </c>
      <c r="B14" s="11">
        <f>B9</f>
        <v/>
      </c>
      <c r="C14" s="11">
        <f>B9*2</f>
        <v/>
      </c>
      <c r="D14" s="24" t="inlineStr">
        <is>
          <t>2 concurrent request(s)/min</t>
        </is>
      </c>
      <c r="E14" s="24" t="inlineStr">
        <is>
          <t>Sensitivity scenario</t>
        </is>
      </c>
    </row>
    <row r="15">
      <c r="A15" s="15" t="inlineStr">
        <is>
          <t>3 RPM</t>
        </is>
      </c>
      <c r="B15" s="16">
        <f>B9</f>
        <v/>
      </c>
      <c r="C15" s="16">
        <f>B9*3</f>
        <v/>
      </c>
      <c r="D15" s="15" t="inlineStr">
        <is>
          <t>Enterprise peak design point</t>
        </is>
      </c>
      <c r="E15" s="15" t="inlineStr">
        <is>
          <t>★ NEEV design point = 1,725,000 TPM</t>
        </is>
      </c>
    </row>
    <row r="16">
      <c r="A16" s="9" t="inlineStr">
        <is>
          <t>4 RPM</t>
        </is>
      </c>
      <c r="B16" s="11">
        <f>B9</f>
        <v/>
      </c>
      <c r="C16" s="11">
        <f>B9*4</f>
        <v/>
      </c>
      <c r="D16" s="24" t="inlineStr">
        <is>
          <t>4 concurrent request(s)/min</t>
        </is>
      </c>
      <c r="E16" s="24" t="inlineStr">
        <is>
          <t>Sensitivity scenario</t>
        </is>
      </c>
    </row>
    <row r="17">
      <c r="A17" s="6" t="inlineStr">
        <is>
          <t>5 RPM</t>
        </is>
      </c>
      <c r="B17" s="8">
        <f>B9</f>
        <v/>
      </c>
      <c r="C17" s="8">
        <f>B9*5</f>
        <v/>
      </c>
      <c r="D17" s="23" t="inlineStr">
        <is>
          <t>5 concurrent request(s)/min</t>
        </is>
      </c>
      <c r="E17" s="23" t="inlineStr">
        <is>
          <t>Sensitivity scenario</t>
        </is>
      </c>
    </row>
    <row r="19" ht="72" customHeight="1">
      <c r="A19" s="17" t="inlineStr">
        <is>
          <t>Why output carries a 9× weighting: input tokens are pre-filled in parallel (one forward pass over the whole prompt), whereas output tokens are produced one at a time, each attending to the entire growing context. Generation therefore dominates compute/time, so NEEV prices each output token at ~9× an input token. Design point: 575,000 weighted tokens × 3 RPM = 1,725,000 TPM.</t>
        </is>
      </c>
    </row>
  </sheetData>
  <mergeCells count="5">
    <mergeCell ref="A4:E4"/>
    <mergeCell ref="A2:E2"/>
    <mergeCell ref="A19:E19"/>
    <mergeCell ref="A11:E1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showGridLines="0" tabSelected="1" workbookViewId="0">
      <pane ySplit="4" topLeftCell="A5" activePane="bottomLeft" state="frozen"/>
      <selection pane="bottomLeft" activeCell="E9" sqref="E9"/>
    </sheetView>
  </sheetViews>
  <sheetFormatPr baseColWidth="10" defaultColWidth="8.83203125" defaultRowHeight="21"/>
  <cols>
    <col width="10" customWidth="1" min="1" max="1"/>
    <col width="13" customWidth="1" min="2" max="2"/>
    <col width="16" customWidth="1" min="3" max="3"/>
    <col width="18" customWidth="1" min="4" max="4"/>
    <col width="18" customWidth="1" min="5" max="5"/>
    <col width="15" customWidth="1" min="6" max="6"/>
    <col width="12" customWidth="1" min="7" max="7"/>
    <col width="30" customWidth="1" min="8" max="8"/>
    <col width="46" customWidth="1" min="9" max="9"/>
  </cols>
  <sheetData>
    <row r="1" ht="26" customHeight="1">
      <c r="A1" s="3" t="inlineStr">
        <is>
          <t>Sheet 5 — Three-Year Capacity Plan</t>
        </is>
      </c>
    </row>
    <row r="2" ht="16" customHeight="1">
      <c r="A2" s="4" t="inlineStr">
        <is>
          <t>Application growth vs. token consumption vs. reserved peak TPM (Year 1-3)</t>
        </is>
      </c>
    </row>
    <row r="4" ht="30" customHeight="1">
      <c r="A4" s="5" t="inlineStr">
        <is>
          <t>Year</t>
        </is>
      </c>
      <c r="B4" s="5" t="inlineStr">
        <is>
          <t>Applications</t>
        </is>
      </c>
      <c r="C4" s="5" t="inlineStr">
        <is>
          <t>Monthly Queries</t>
        </is>
      </c>
      <c r="D4" s="5" t="inlineStr">
        <is>
          <t>Monthly Tokens</t>
        </is>
      </c>
      <c r="E4" s="5" t="inlineStr">
        <is>
          <t>Annual Tokens</t>
        </is>
      </c>
      <c r="F4" s="5" t="inlineStr">
        <is>
          <t>Reserved TPM</t>
        </is>
      </c>
      <c r="G4" s="5" t="inlineStr">
        <is>
          <t>Growth %</t>
        </is>
      </c>
      <c r="H4" s="5" t="inlineStr">
        <is>
          <t>Infrastructure Impact</t>
        </is>
      </c>
      <c r="I4" s="5" t="inlineStr">
        <is>
          <t>Assumptions / Justification</t>
        </is>
      </c>
    </row>
    <row r="5" ht="44" customHeight="1">
      <c r="A5" s="6" t="inlineStr">
        <is>
          <t>Year 1</t>
        </is>
      </c>
      <c r="B5" s="8" t="n">
        <v>25</v>
      </c>
      <c r="C5" s="8" t="n">
        <v>130000</v>
      </c>
      <c r="D5" s="8" t="n">
        <v>75000000</v>
      </c>
      <c r="E5" s="8" t="n">
        <v>900000000</v>
      </c>
      <c r="F5" s="8" t="n">
        <v>1725000</v>
      </c>
      <c r="G5" s="25" t="inlineStr">
        <is>
          <t>Baseline</t>
        </is>
      </c>
      <c r="H5" s="7" t="inlineStr">
        <is>
          <t>Single shared AI server (Option 2) sufficient</t>
        </is>
      </c>
      <c r="I5" s="7" t="inlineStr">
        <is>
          <t>25 apps onboarded; pilot + UAT; peak sizing set by concurrency, not volume</t>
        </is>
      </c>
    </row>
    <row r="6" ht="44" customHeight="1">
      <c r="A6" s="9" t="inlineStr">
        <is>
          <t>Year 2</t>
        </is>
      </c>
      <c r="B6" s="11" t="n">
        <v>100</v>
      </c>
      <c r="C6" s="11" t="n">
        <v>435000</v>
      </c>
      <c r="D6" s="11" t="n">
        <v>250000000</v>
      </c>
      <c r="E6" s="11" t="n">
        <v>3000000000</v>
      </c>
      <c r="F6" s="11" t="n">
        <v>1725000</v>
      </c>
      <c r="G6" s="26">
        <f>B6/B5-1</f>
        <v/>
      </c>
      <c r="H6" s="10" t="inlineStr">
        <is>
          <t>Shared server with HA; GPU utilisation rises</t>
        </is>
      </c>
      <c r="I6" s="10" t="inlineStr">
        <is>
          <t>4× apps; steady-state adoption; same peak-minute concurrency envelope</t>
        </is>
      </c>
    </row>
    <row r="7" ht="44" customHeight="1">
      <c r="A7" s="6" t="inlineStr">
        <is>
          <t>Year 3</t>
        </is>
      </c>
      <c r="B7" s="8" t="n">
        <v>200</v>
      </c>
      <c r="C7" s="8" t="n">
        <v>870000</v>
      </c>
      <c r="D7" s="8" t="n">
        <v>500000000</v>
      </c>
      <c r="E7" s="8" t="n">
        <v>6000000000</v>
      </c>
      <c r="F7" s="8" t="n">
        <v>1725000</v>
      </c>
      <c r="G7" s="27">
        <f>B7/B6-1</f>
        <v/>
      </c>
      <c r="H7" s="7" t="inlineStr">
        <is>
          <t>Enterprise cluster (Option 3) for HA/DR</t>
        </is>
      </c>
      <c r="I7" s="7" t="inlineStr">
        <is>
          <t>Pan-India; volume grows but simultaneous peak requests remain bounded</t>
        </is>
      </c>
    </row>
    <row r="9" ht="60" customHeight="1">
      <c r="A9" s="17" t="inlineStr">
        <is>
          <t>Why reserved TPM stays constant (1,725,000) while annual tokens grow 6.7×: reserved TPM sizes the SYSTEM for the busiest minute (peak concurrent requests), not total monthly/annual volume. Annual token consumption scales with the number of applications and assessments over time, but peak-minute concurrency is governed by how many users hit the system simultaneously — which the NEEV 3-RPM design point already reserves. Additional volume is absorbed by scheduling across the month, not by raising the peak reservation.</t>
        </is>
      </c>
    </row>
  </sheetData>
  <mergeCells count="3">
    <mergeCell ref="A1:I1"/>
    <mergeCell ref="A9:I9"/>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showGridLines="0" workbookViewId="0">
      <pane ySplit="4" topLeftCell="A5"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4" customWidth="1" min="6" max="6"/>
    <col width="14" customWidth="1" min="7" max="7"/>
    <col width="34" customWidth="1" min="8" max="8"/>
    <col width="26" customWidth="1" min="9" max="9"/>
  </cols>
  <sheetData>
    <row r="1" ht="26" customHeight="1">
      <c r="A1" s="3" t="inlineStr">
        <is>
          <t>Sheet 6 — Budget Summary (Executive)</t>
        </is>
      </c>
    </row>
    <row r="2" ht="16" customHeight="1">
      <c r="A2" s="4" t="inlineStr">
        <is>
          <t>Consolidated CapEx / OpEx for ECS AI capability across Year 1-3 (₹ Lakh)</t>
        </is>
      </c>
    </row>
    <row r="4" ht="30" customHeight="1">
      <c r="A4" s="5" t="inlineStr">
        <is>
          <t>Line Item</t>
        </is>
      </c>
      <c r="B4" s="5" t="inlineStr">
        <is>
          <t>Type</t>
        </is>
      </c>
      <c r="C4" s="5" t="inlineStr">
        <is>
          <t>Year 1</t>
        </is>
      </c>
      <c r="D4" s="5" t="inlineStr">
        <is>
          <t>Year 2</t>
        </is>
      </c>
      <c r="E4" s="5" t="inlineStr">
        <is>
          <t>Year 3</t>
        </is>
      </c>
      <c r="F4" s="5" t="inlineStr">
        <is>
          <t>3-Year Total</t>
        </is>
      </c>
      <c r="G4" s="5" t="inlineStr">
        <is>
          <t>Category</t>
        </is>
      </c>
      <c r="H4" s="5" t="inlineStr">
        <is>
          <t>Assumptions</t>
        </is>
      </c>
      <c r="I4" s="5" t="inlineStr">
        <is>
          <t>Remarks</t>
        </is>
      </c>
    </row>
    <row r="5">
      <c r="A5" s="6" t="inlineStr">
        <is>
          <t>Developer Hardware</t>
        </is>
      </c>
      <c r="B5" s="23" t="inlineStr">
        <is>
          <t>CapEx</t>
        </is>
      </c>
      <c r="C5" s="28" t="n">
        <v>2.5</v>
      </c>
      <c r="D5" s="28" t="n">
        <v>0</v>
      </c>
      <c r="E5" s="28" t="n">
        <v>0</v>
      </c>
      <c r="F5" s="28">
        <f>C5+D5+E5</f>
        <v/>
      </c>
      <c r="G5" s="23" t="inlineStr">
        <is>
          <t>Infrastructure</t>
        </is>
      </c>
      <c r="H5" s="7" t="inlineStr">
        <is>
          <t>Dev laptops / workstations (Option 1)</t>
        </is>
      </c>
      <c r="I5" s="7" t="inlineStr">
        <is>
          <t>One-time Phase-0/1 spend</t>
        </is>
      </c>
    </row>
    <row r="6">
      <c r="A6" s="9" t="inlineStr">
        <is>
          <t>Shared AI Infrastructure</t>
        </is>
      </c>
      <c r="B6" s="24" t="inlineStr">
        <is>
          <t>CapEx</t>
        </is>
      </c>
      <c r="C6" s="29" t="n">
        <v>15</v>
      </c>
      <c r="D6" s="29" t="n">
        <v>0</v>
      </c>
      <c r="E6" s="29" t="n">
        <v>6</v>
      </c>
      <c r="F6" s="29">
        <f>C6+D6+E6</f>
        <v/>
      </c>
      <c r="G6" s="24" t="inlineStr">
        <is>
          <t>Infrastructure</t>
        </is>
      </c>
      <c r="H6" s="10" t="inlineStr">
        <is>
          <t>L40S shared server (Option 2) + Year-3 HA node</t>
        </is>
      </c>
      <c r="I6" s="10" t="inlineStr">
        <is>
          <t>Meets NEEV 1.725M TPM</t>
        </is>
      </c>
    </row>
    <row r="7">
      <c r="A7" s="6" t="inlineStr">
        <is>
          <t>Enterprise AI Infrastructure</t>
        </is>
      </c>
      <c r="B7" s="23" t="inlineStr">
        <is>
          <t>CapEx</t>
        </is>
      </c>
      <c r="C7" s="28" t="n">
        <v>0</v>
      </c>
      <c r="D7" s="28" t="n">
        <v>0</v>
      </c>
      <c r="E7" s="28" t="n">
        <v>55</v>
      </c>
      <c r="F7" s="28">
        <f>C7+D7+E7</f>
        <v/>
      </c>
      <c r="G7" s="23" t="inlineStr">
        <is>
          <t>Infrastructure</t>
        </is>
      </c>
      <c r="H7" s="7" t="inlineStr">
        <is>
          <t>Multi-node cluster (Option 3) for pan-India</t>
        </is>
      </c>
      <c r="I7" s="7" t="inlineStr">
        <is>
          <t>HA/DR in Year 3</t>
        </is>
      </c>
    </row>
    <row r="8">
      <c r="A8" s="9" t="inlineStr">
        <is>
          <t>Embedding Model</t>
        </is>
      </c>
      <c r="B8" s="24" t="inlineStr">
        <is>
          <t>OpEx</t>
        </is>
      </c>
      <c r="C8" s="29" t="n">
        <v>2</v>
      </c>
      <c r="D8" s="29" t="n">
        <v>2</v>
      </c>
      <c r="E8" s="29" t="n">
        <v>3</v>
      </c>
      <c r="F8" s="29">
        <f>C8+D8+E8</f>
        <v/>
      </c>
      <c r="G8" s="24" t="inlineStr">
        <is>
          <t>Software/AI</t>
        </is>
      </c>
      <c r="H8" s="10" t="inlineStr">
        <is>
          <t>Local embedding model hosting + refresh</t>
        </is>
      </c>
      <c r="I8" s="10" t="inlineStr">
        <is>
          <t>RAG indexing</t>
        </is>
      </c>
    </row>
    <row r="9">
      <c r="A9" s="6" t="inlineStr">
        <is>
          <t>Vector Database</t>
        </is>
      </c>
      <c r="B9" s="23" t="inlineStr">
        <is>
          <t>OpEx</t>
        </is>
      </c>
      <c r="C9" s="28" t="n">
        <v>3</v>
      </c>
      <c r="D9" s="28" t="n">
        <v>4</v>
      </c>
      <c r="E9" s="28" t="n">
        <v>6</v>
      </c>
      <c r="F9" s="28">
        <f>C9+D9+E9</f>
        <v/>
      </c>
      <c r="G9" s="23" t="inlineStr">
        <is>
          <t>Software/AI</t>
        </is>
      </c>
      <c r="H9" s="7" t="inlineStr">
        <is>
          <t>PGVector / vector store ops + storage</t>
        </is>
      </c>
      <c r="I9" s="7" t="inlineStr">
        <is>
          <t>Scales with evidence</t>
        </is>
      </c>
    </row>
    <row r="10">
      <c r="A10" s="9" t="inlineStr">
        <is>
          <t>LLM (Local + Cloud burst)</t>
        </is>
      </c>
      <c r="B10" s="24" t="inlineStr">
        <is>
          <t>OpEx</t>
        </is>
      </c>
      <c r="C10" s="29" t="n">
        <v>6</v>
      </c>
      <c r="D10" s="29" t="n">
        <v>12</v>
      </c>
      <c r="E10" s="29" t="n">
        <v>20</v>
      </c>
      <c r="F10" s="29">
        <f>C10+D10+E10</f>
        <v/>
      </c>
      <c r="G10" s="24" t="inlineStr">
        <is>
          <t>Software/AI</t>
        </is>
      </c>
      <c r="H10" s="10" t="inlineStr">
        <is>
          <t>Local inference + limited cloud burst (~5%)</t>
        </is>
      </c>
      <c r="I10" s="10" t="inlineStr">
        <is>
          <t>95% local policy</t>
        </is>
      </c>
    </row>
    <row r="11">
      <c r="A11" s="6" t="inlineStr">
        <is>
          <t>NEEV Budget Reserve</t>
        </is>
      </c>
      <c r="B11" s="23" t="inlineStr">
        <is>
          <t>OpEx</t>
        </is>
      </c>
      <c r="C11" s="28" t="n">
        <v>5</v>
      </c>
      <c r="D11" s="28" t="n">
        <v>8</v>
      </c>
      <c r="E11" s="28" t="n">
        <v>12</v>
      </c>
      <c r="F11" s="28">
        <f>C11+D11+E11</f>
        <v/>
      </c>
      <c r="G11" s="23" t="inlineStr">
        <is>
          <t>Reserve</t>
        </is>
      </c>
      <c r="H11" s="7" t="inlineStr">
        <is>
          <t>Contingency for peak/burst + model upgrades</t>
        </is>
      </c>
      <c r="I11" s="7" t="inlineStr">
        <is>
          <t>Governance-controlled</t>
        </is>
      </c>
    </row>
    <row r="12">
      <c r="A12" s="9" t="inlineStr">
        <is>
          <t>Software (platform/licenses)</t>
        </is>
      </c>
      <c r="B12" s="24" t="inlineStr">
        <is>
          <t>OpEx</t>
        </is>
      </c>
      <c r="C12" s="29" t="n">
        <v>4</v>
      </c>
      <c r="D12" s="29" t="n">
        <v>5</v>
      </c>
      <c r="E12" s="29" t="n">
        <v>7</v>
      </c>
      <c r="F12" s="29">
        <f>C12+D12+E12</f>
        <v/>
      </c>
      <c r="G12" s="24" t="inlineStr">
        <is>
          <t>Software/AI</t>
        </is>
      </c>
      <c r="H12" s="10" t="inlineStr">
        <is>
          <t>ECS platform, MLOps, monitoring licenses</t>
        </is>
      </c>
      <c r="I12" s="10" t="inlineStr">
        <is>
          <t>Annual</t>
        </is>
      </c>
    </row>
    <row r="13">
      <c r="A13" s="6" t="inlineStr">
        <is>
          <t>Operations (run/maintain)</t>
        </is>
      </c>
      <c r="B13" s="23" t="inlineStr">
        <is>
          <t>OpEx</t>
        </is>
      </c>
      <c r="C13" s="28" t="n">
        <v>6</v>
      </c>
      <c r="D13" s="28" t="n">
        <v>9</v>
      </c>
      <c r="E13" s="28" t="n">
        <v>15</v>
      </c>
      <c r="F13" s="28">
        <f>C13+D13+E13</f>
        <v/>
      </c>
      <c r="G13" s="23" t="inlineStr">
        <is>
          <t>Operations</t>
        </is>
      </c>
      <c r="H13" s="7" t="inlineStr">
        <is>
          <t>Infra ops, patching, data-centre run</t>
        </is>
      </c>
      <c r="I13" s="7" t="inlineStr">
        <is>
          <t>Grows with footprint</t>
        </is>
      </c>
    </row>
    <row r="14">
      <c r="A14" s="9" t="inlineStr">
        <is>
          <t>Support (L2/L3 + vendor)</t>
        </is>
      </c>
      <c r="B14" s="24" t="inlineStr">
        <is>
          <t>OpEx</t>
        </is>
      </c>
      <c r="C14" s="29" t="n">
        <v>4</v>
      </c>
      <c r="D14" s="29" t="n">
        <v>6</v>
      </c>
      <c r="E14" s="29" t="n">
        <v>9</v>
      </c>
      <c r="F14" s="29">
        <f>C14+D14+E14</f>
        <v/>
      </c>
      <c r="G14" s="24" t="inlineStr">
        <is>
          <t>Operations</t>
        </is>
      </c>
      <c r="H14" s="10" t="inlineStr">
        <is>
          <t>Support staff + vendor AMC</t>
        </is>
      </c>
      <c r="I14" s="10" t="inlineStr">
        <is>
          <t>Grows with adoption</t>
        </is>
      </c>
    </row>
    <row r="15">
      <c r="A15" s="15" t="inlineStr">
        <is>
          <t>GRAND TOTAL</t>
        </is>
      </c>
      <c r="B15" s="15" t="inlineStr">
        <is>
          <t>CapEx + OpEx</t>
        </is>
      </c>
      <c r="C15" s="30">
        <f>SUM(C5:C14)</f>
        <v/>
      </c>
      <c r="D15" s="30">
        <f>SUM(D5:D14)</f>
        <v/>
      </c>
      <c r="E15" s="30">
        <f>SUM(E5:E14)</f>
        <v/>
      </c>
      <c r="F15" s="30">
        <f>SUM(F5:F14)</f>
        <v/>
      </c>
      <c r="G15" s="15" t="inlineStr">
        <is>
          <t>All</t>
        </is>
      </c>
      <c r="H15" s="15" t="inlineStr">
        <is>
          <t>Sum of all line items</t>
        </is>
      </c>
      <c r="I15" s="15" t="inlineStr">
        <is>
          <t>Three-year programme cost</t>
        </is>
      </c>
    </row>
    <row r="17" ht="20" customHeight="1">
      <c r="A17" s="19" t="inlineStr">
        <is>
          <t>CapEx vs. OpEx Split (₹ Lakh)</t>
        </is>
      </c>
    </row>
    <row r="18" ht="30" customHeight="1">
      <c r="A18" s="5" t="inlineStr">
        <is>
          <t>Split</t>
        </is>
      </c>
      <c r="B18" s="5" t="inlineStr"/>
      <c r="C18" s="5" t="inlineStr">
        <is>
          <t>Year 1</t>
        </is>
      </c>
      <c r="D18" s="5" t="inlineStr">
        <is>
          <t>Year 2</t>
        </is>
      </c>
      <c r="E18" s="5" t="inlineStr">
        <is>
          <t>Year 3</t>
        </is>
      </c>
      <c r="F18" s="5" t="inlineStr">
        <is>
          <t>3-Year Total</t>
        </is>
      </c>
      <c r="G18" s="5" t="inlineStr"/>
      <c r="H18" s="5" t="inlineStr"/>
      <c r="I18" s="5" t="inlineStr"/>
    </row>
    <row r="19">
      <c r="A19" s="9" t="inlineStr">
        <is>
          <t>Total CapEx</t>
        </is>
      </c>
      <c r="B19" s="24" t="inlineStr"/>
      <c r="C19" s="29">
        <f>SUMIF($B$5:$B$14,"CapEx",C5:C14)</f>
        <v/>
      </c>
      <c r="D19" s="29">
        <f>SUMIF($B$5:$B$14,"CapEx",D5:D14)</f>
        <v/>
      </c>
      <c r="E19" s="29">
        <f>SUMIF($B$5:$B$14,"CapEx",E5:E14)</f>
        <v/>
      </c>
      <c r="F19" s="29">
        <f>C19+D19+E19</f>
        <v/>
      </c>
      <c r="G19" s="24" t="inlineStr"/>
      <c r="H19" s="24" t="inlineStr"/>
      <c r="I19" s="24" t="inlineStr"/>
    </row>
    <row r="20">
      <c r="A20" s="6" t="inlineStr">
        <is>
          <t>Total OpEx</t>
        </is>
      </c>
      <c r="B20" s="23" t="inlineStr"/>
      <c r="C20" s="28">
        <f>SUMIF($B$5:$B$14,"OpEx",C5:C14)</f>
        <v/>
      </c>
      <c r="D20" s="28">
        <f>SUMIF($B$5:$B$14,"OpEx",D5:D14)</f>
        <v/>
      </c>
      <c r="E20" s="28">
        <f>SUMIF($B$5:$B$14,"OpEx",E5:E14)</f>
        <v/>
      </c>
      <c r="F20" s="28">
        <f>C20+D20+E20</f>
        <v/>
      </c>
      <c r="G20" s="23" t="inlineStr"/>
      <c r="H20" s="23" t="inlineStr"/>
      <c r="I20" s="23" t="inlineStr"/>
    </row>
    <row r="22" ht="36" customHeight="1">
      <c r="A22" s="17" t="inlineStr">
        <is>
          <t>All figures in ₹ Lakh. CapEx is one-time hardware (Options 1-3, phased); OpEx is annual software/AI/operations/support plus a governance-controlled NEEV reserve. ~95% of inference is local (on-prem) with limited cloud burst, minimising recurring token cost. Totals are live formulas and reconcile automatically.</t>
        </is>
      </c>
    </row>
  </sheetData>
  <mergeCells count="4">
    <mergeCell ref="A1:I1"/>
    <mergeCell ref="A17:I17"/>
    <mergeCell ref="A2:I2"/>
    <mergeCell ref="A22:I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showGridLines="0" workbookViewId="0">
      <pane ySplit="5" topLeftCell="A6" activePane="bottomLeft" state="frozen"/>
      <selection pane="bottomLeft" activeCell="A1" sqref="A1"/>
    </sheetView>
  </sheetViews>
  <sheetFormatPr baseColWidth="8" defaultRowHeight="15"/>
  <cols>
    <col width="26" customWidth="1" min="1" max="1"/>
    <col width="14" customWidth="1" min="2" max="2"/>
    <col width="14" customWidth="1" min="3" max="3"/>
    <col width="12" customWidth="1" min="4" max="4"/>
    <col width="12" customWidth="1" min="5" max="5"/>
    <col width="62" customWidth="1" min="6" max="6"/>
  </cols>
  <sheetData>
    <row r="1" ht="26" customHeight="1">
      <c r="A1" s="3" t="inlineStr">
        <is>
          <t>Sheet 7 — Assumptions &amp; Methodology</t>
        </is>
      </c>
    </row>
    <row r="2" ht="16" customHeight="1">
      <c r="A2" s="4" t="inlineStr">
        <is>
          <t>Every unit rate and headline figure, with conservative / expected / peak scenarios</t>
        </is>
      </c>
    </row>
    <row r="4" ht="20" customHeight="1">
      <c r="A4" s="19" t="inlineStr">
        <is>
          <t>Unit-Rate Assumptions</t>
        </is>
      </c>
    </row>
    <row r="5" ht="30" customHeight="1">
      <c r="A5" s="5" t="inlineStr">
        <is>
          <t>Assumption</t>
        </is>
      </c>
      <c r="B5" s="5" t="inlineStr">
        <is>
          <t>Value</t>
        </is>
      </c>
      <c r="C5" s="5" t="inlineStr">
        <is>
          <t>Conservative</t>
        </is>
      </c>
      <c r="D5" s="5" t="inlineStr">
        <is>
          <t>Expected</t>
        </is>
      </c>
      <c r="E5" s="5" t="inlineStr">
        <is>
          <t>Peak</t>
        </is>
      </c>
      <c r="F5" s="5" t="inlineStr">
        <is>
          <t>Methodology / Justification</t>
        </is>
      </c>
    </row>
    <row r="6">
      <c r="A6" s="6" t="inlineStr">
        <is>
          <t>Tokens per control</t>
        </is>
      </c>
      <c r="B6" s="23" t="inlineStr">
        <is>
          <t>50</t>
        </is>
      </c>
      <c r="C6" s="8" t="n">
        <v>40</v>
      </c>
      <c r="D6" s="8" t="n">
        <v>50</v>
      </c>
      <c r="E6" s="8" t="n">
        <v>65</v>
      </c>
      <c r="F6" s="7" t="inlineStr">
        <is>
          <t>Average control text (id, title, requirement, test) ≈ 50 tokens after normalisation</t>
        </is>
      </c>
    </row>
    <row r="7">
      <c r="A7" s="9" t="inlineStr">
        <is>
          <t>Tokens per evidence pack</t>
        </is>
      </c>
      <c r="B7" s="24" t="inlineStr">
        <is>
          <t>8,000</t>
        </is>
      </c>
      <c r="C7" s="11" t="n">
        <v>6000</v>
      </c>
      <c r="D7" s="11" t="n">
        <v>8000</v>
      </c>
      <c r="E7" s="11" t="n">
        <v>11000</v>
      </c>
      <c r="F7" s="10" t="inlineStr">
        <is>
          <t>Chunked config/log/attestation pack after RAG retrieval ≈ 8,000 tokens</t>
        </is>
      </c>
    </row>
    <row r="8">
      <c r="A8" s="6" t="inlineStr">
        <is>
          <t>Tokens per observation</t>
        </is>
      </c>
      <c r="B8" s="23" t="inlineStr">
        <is>
          <t>1,000</t>
        </is>
      </c>
      <c r="C8" s="8" t="n">
        <v>700</v>
      </c>
      <c r="D8" s="8" t="n">
        <v>1000</v>
      </c>
      <c r="E8" s="8" t="n">
        <v>1500</v>
      </c>
      <c r="F8" s="7" t="inlineStr">
        <is>
          <t>Prior finding + remediation + closure note ≈ 1,000 tokens</t>
        </is>
      </c>
    </row>
    <row r="9">
      <c r="A9" s="9" t="inlineStr">
        <is>
          <t>Tokens per risk record</t>
        </is>
      </c>
      <c r="B9" s="24" t="inlineStr">
        <is>
          <t>500</t>
        </is>
      </c>
      <c r="C9" s="11" t="n">
        <v>350</v>
      </c>
      <c r="D9" s="11" t="n">
        <v>500</v>
      </c>
      <c r="E9" s="11" t="n">
        <v>750</v>
      </c>
      <c r="F9" s="10" t="inlineStr">
        <is>
          <t>Risk acceptance form + rationale ≈ 500 tokens</t>
        </is>
      </c>
    </row>
    <row r="10">
      <c r="A10" s="6" t="inlineStr">
        <is>
          <t>Tokens per mapping row</t>
        </is>
      </c>
      <c r="B10" s="23" t="inlineStr">
        <is>
          <t>50</t>
        </is>
      </c>
      <c r="C10" s="8" t="n">
        <v>40</v>
      </c>
      <c r="D10" s="8" t="n">
        <v>50</v>
      </c>
      <c r="E10" s="8" t="n">
        <v>65</v>
      </c>
      <c r="F10" s="7" t="inlineStr">
        <is>
          <t>Single control-to-control mapping edge ≈ 50 tokens</t>
        </is>
      </c>
    </row>
    <row r="11">
      <c r="A11" s="9" t="inlineStr">
        <is>
          <t>Output weighting factor</t>
        </is>
      </c>
      <c r="B11" s="24" t="inlineStr">
        <is>
          <t>9×</t>
        </is>
      </c>
      <c r="C11" s="11" t="n">
        <v>7</v>
      </c>
      <c r="D11" s="11" t="n">
        <v>9</v>
      </c>
      <c r="E11" s="11" t="n">
        <v>11</v>
      </c>
      <c r="F11" s="10" t="inlineStr">
        <is>
          <t>Autoregressive decode cost relative to parallel input pre-fill</t>
        </is>
      </c>
    </row>
    <row r="12">
      <c r="A12" s="6" t="inlineStr">
        <is>
          <t>Enterprise peak RPM</t>
        </is>
      </c>
      <c r="B12" s="23" t="inlineStr">
        <is>
          <t>3</t>
        </is>
      </c>
      <c r="C12" s="8" t="n">
        <v>2</v>
      </c>
      <c r="D12" s="8" t="n">
        <v>3</v>
      </c>
      <c r="E12" s="8" t="n">
        <v>5</v>
      </c>
      <c r="F12" s="7" t="inlineStr">
        <is>
          <t>Simultaneous requests in the busiest minute at enterprise scale</t>
        </is>
      </c>
    </row>
    <row r="14" ht="20" customHeight="1">
      <c r="A14" s="19" t="inlineStr">
        <is>
          <t>Headline-Figure Reconciliation</t>
        </is>
      </c>
    </row>
    <row r="15" ht="30" customHeight="1">
      <c r="A15" s="5" t="inlineStr">
        <is>
          <t>Figure</t>
        </is>
      </c>
      <c r="B15" s="5" t="inlineStr">
        <is>
          <t>Value</t>
        </is>
      </c>
      <c r="C15" s="5" t="inlineStr">
        <is>
          <t>Conservative</t>
        </is>
      </c>
      <c r="D15" s="5" t="inlineStr">
        <is>
          <t>Expected</t>
        </is>
      </c>
      <c r="E15" s="5" t="inlineStr">
        <is>
          <t>Peak</t>
        </is>
      </c>
      <c r="F15" s="5" t="inlineStr">
        <is>
          <t>Derivation</t>
        </is>
      </c>
    </row>
    <row r="16">
      <c r="A16" s="6" t="inlineStr">
        <is>
          <t>Input Tokens</t>
        </is>
      </c>
      <c r="B16" s="18" t="n">
        <v>125000</v>
      </c>
      <c r="C16" s="8" t="n">
        <v>92000</v>
      </c>
      <c r="D16" s="8" t="n">
        <v>125000</v>
      </c>
      <c r="E16" s="8" t="n">
        <v>168000</v>
      </c>
      <c r="F16" s="7" t="inlineStr">
        <is>
          <t>15,000 + 40,000 + 20,000 + 15,000 + 10,000 + 25,000 (Sheet 1)</t>
        </is>
      </c>
    </row>
    <row r="17">
      <c r="A17" s="9" t="inlineStr">
        <is>
          <t>Output Tokens</t>
        </is>
      </c>
      <c r="B17" s="31" t="n">
        <v>50000</v>
      </c>
      <c r="C17" s="11" t="n">
        <v>13000</v>
      </c>
      <c r="D17" s="11" t="n">
        <v>50000</v>
      </c>
      <c r="E17" s="11" t="n">
        <v>60000</v>
      </c>
      <c r="F17" s="10" t="inlineStr">
        <is>
          <t>Typical ≈13,000; worst case 50,000 = 13,000 + 37,000 buffer (Sheet 2)</t>
        </is>
      </c>
    </row>
    <row r="18">
      <c r="A18" s="20" t="inlineStr">
        <is>
          <t>Weighted Tokens</t>
        </is>
      </c>
      <c r="B18" s="21">
        <f>B16+(9*B17)</f>
        <v/>
      </c>
      <c r="C18" s="32" t="n"/>
      <c r="D18" s="32" t="n">
        <v>575000</v>
      </c>
      <c r="E18" s="32" t="n"/>
      <c r="F18" s="22" t="inlineStr">
        <is>
          <t>Input + (9 × Output) = 125,000 + (9 × 50,000) (Sheet 4)</t>
        </is>
      </c>
    </row>
    <row r="19">
      <c r="A19" s="20" t="inlineStr">
        <is>
          <t>Reserved TPM</t>
        </is>
      </c>
      <c r="B19" s="21">
        <f>B18*3</f>
        <v/>
      </c>
      <c r="C19" s="32" t="n"/>
      <c r="D19" s="32" t="n">
        <v>1725000</v>
      </c>
      <c r="E19" s="32" t="n"/>
      <c r="F19" s="22" t="inlineStr">
        <is>
          <t>Weighted × Peak RPM = 575,000 × 3 (Sheet 4)</t>
        </is>
      </c>
    </row>
    <row r="21" ht="72" customHeight="1">
      <c r="A21" s="17" t="inlineStr">
        <is>
          <t>Methodology: bottom-up token build-up (unit rate × volume) for input and output; NEEV weighting applied to output; peak-minute concurrency (RPM) converts weighted tokens to reserved TPM. Three scenarios (conservative / expected / peak) bracket every rate so Finance and the ARB can stress the model. Expected column is the approved design point and reconciles to 125K / 50K / 575K / 1.725M. Weighted Tokens and Reserved TPM are live formulas that recompute from the inputs above.</t>
        </is>
      </c>
    </row>
  </sheetData>
  <mergeCells count="5">
    <mergeCell ref="A2:F2"/>
    <mergeCell ref="A14:F14"/>
    <mergeCell ref="A1:F1"/>
    <mergeCell ref="A4:F4"/>
    <mergeCell ref="A21:F2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26" customWidth="1" min="1" max="1"/>
    <col width="100" customWidth="1" min="2" max="2"/>
  </cols>
  <sheetData>
    <row r="1" ht="26" customHeight="1">
      <c r="A1" s="3" t="inlineStr">
        <is>
          <t>Sheet 8 — Finance Submission Notes</t>
        </is>
      </c>
    </row>
    <row r="2" ht="16" customHeight="1">
      <c r="A2" s="4" t="inlineStr">
        <is>
          <t>Proposal-ready narrative for CIO / ARB / Finance / AI Governance / NEEV committee</t>
        </is>
      </c>
    </row>
    <row r="5" ht="20" customHeight="1">
      <c r="A5" s="33" t="inlineStr">
        <is>
          <t>Purpose</t>
        </is>
      </c>
    </row>
    <row r="6" ht="75" customHeight="1">
      <c r="A6" s="7" t="inlineStr">
        <is>
          <t>This workbook sizes and budgets the ECS enterprise AI capability (evidence intelligence, control assessment and observation drafting) for CIO review, Architecture Review Board approval, infrastructure sizing, AI governance and NEEV capacity planning. It establishes the token envelope per request, the reserved throughput (TPM), the local-LLM hardware options and the three-year budget.</t>
        </is>
      </c>
    </row>
    <row r="8" ht="20" customHeight="1">
      <c r="A8" s="33" t="inlineStr">
        <is>
          <t>Methodology</t>
        </is>
      </c>
    </row>
    <row r="9" ht="60" customHeight="1">
      <c r="A9" s="7" t="inlineStr">
        <is>
          <t>A bottom-up model: each input component (framework controls, evidence, observations, mapping, risk, prompt) and each output artifact is estimated as unit rate × volume. Output tokens are weighted 9× (autoregressive decode cost). Peak-minute concurrency (RPM) converts weighted tokens to reserved TPM. Conservative / expected / peak scenarios bracket every assumption (Sheet 7).</t>
        </is>
      </c>
    </row>
    <row r="11" ht="20" customHeight="1">
      <c r="A11" s="33" t="inlineStr">
        <is>
          <t>Sizing Logic</t>
        </is>
      </c>
    </row>
    <row r="12" ht="60" customHeight="1">
      <c r="A12" s="7" t="inlineStr">
        <is>
          <t>Input = 125,000 tokens; worst-case output = 50,000 tokens; weighted = 125,000 + (9 × 50,000) = 575,000 tokens/request; reserved throughput = 575,000 × 3 RPM = 1,725,000 TPM. TPM sizes the system for the busiest minute, not total volume, which is why the reservation stays constant as applications grow.</t>
        </is>
      </c>
    </row>
    <row r="14" ht="20" customHeight="1">
      <c r="A14" s="33" t="inlineStr">
        <is>
          <t>Infrastructure Strategy</t>
        </is>
      </c>
    </row>
    <row r="15" ht="60" customHeight="1">
      <c r="A15" s="7" t="inlineStr">
        <is>
          <t>Three phased options: (1) developer laptops for POC (₹0-2.5 Lakh, GPU optional); (2) a shared L40S AI server for Phase 1/2 (₹12-18 Lakh, meets 1.725M TPM); (3) a multi-node enterprise cluster for pan-India Phase 3 (₹40-80 Lakh, HA/DR). GPU is optional for single-user dev and becomes mandatory from shared inference onward.</t>
        </is>
      </c>
    </row>
    <row r="17" ht="20" customHeight="1">
      <c r="A17" s="33" t="inlineStr">
        <is>
          <t>Local LLM Strategy</t>
        </is>
      </c>
    </row>
    <row r="18" ht="45" customHeight="1">
      <c r="A18" s="7" t="inlineStr">
        <is>
          <t>~95% of inference runs on-prem/local to retain data residency, control cost and meet bank security policy. Local hosting covers the LLM, the embedding model and the vector database, sized to the NEEV design point with batching.</t>
        </is>
      </c>
    </row>
    <row r="20" ht="20" customHeight="1">
      <c r="A20" s="33" t="inlineStr">
        <is>
          <t>Cloud LLM Strategy</t>
        </is>
      </c>
    </row>
    <row r="21" ht="45" customHeight="1">
      <c r="A21" s="7" t="inlineStr">
        <is>
          <t>Cloud is used only for limited burst (~5%) beyond reserved local capacity, keeping recurring token spend low while providing elasticity for spikes. Cloud burst is governed and capped by the NEEV reserve.</t>
        </is>
      </c>
    </row>
    <row r="23" ht="20" customHeight="1">
      <c r="A23" s="33" t="inlineStr">
        <is>
          <t>NEEV Reserve Strategy</t>
        </is>
      </c>
    </row>
    <row r="24" ht="45" customHeight="1">
      <c r="A24" s="7" t="inlineStr">
        <is>
          <t>A governance-controlled budget reserve absorbs peak/burst demand and model upgrades without re-opening the capital plan. It is sized as an OpEx contingency growing modestly across the three years (Sheet 6).</t>
        </is>
      </c>
    </row>
    <row r="26" ht="20" customHeight="1">
      <c r="A26" s="33" t="inlineStr">
        <is>
          <t>Financial Assumptions</t>
        </is>
      </c>
    </row>
    <row r="27" ht="45" customHeight="1">
      <c r="A27" s="7" t="inlineStr">
        <is>
          <t>All costs in ₹ Lakh. CapEx is one-time, phased hardware; OpEx is annual software/AI/operations/support plus the NEEV reserve. Unit rates and headline figures are documented and stress-tested in Sheet 7. Budget totals are live formulas and reconcile automatically (Sheet 6).</t>
        </is>
      </c>
    </row>
    <row r="29" ht="20" customHeight="1">
      <c r="A29" s="33" t="inlineStr">
        <is>
          <t>Risk Analysis</t>
        </is>
      </c>
    </row>
    <row r="30" ht="60" customHeight="1">
      <c r="A30" s="7" t="inlineStr">
        <is>
          <t>Key sensitivities: evidence-pack size and observation volume drive input tokens; the 9× output weighting drives TPM; concurrency (RPM) drives peak sizing. Conservative and peak scenarios quantify downside/upside. Mitigations: top-k retrieval caps evidence tokens, batching improves GPU TPM, and the NEEV reserve covers burst without new CapEx.</t>
        </is>
      </c>
    </row>
    <row r="32" ht="20" customHeight="1">
      <c r="A32" s="33" t="inlineStr">
        <is>
          <t>Approval Recommendation</t>
        </is>
      </c>
    </row>
    <row r="33" ht="60" customHeight="1">
      <c r="A33" s="7" t="inlineStr">
        <is>
          <t>Approve Phase 1 on the shared L40S AI server (Option 2), which meets the NEEV 1.725M TPM design point for the pilot and UAT at ₹12-18 Lakh CapEx. Stage Option 3 (enterprise cluster) for Year 3 pan-India rollout. The model is conservative (worst-case output, 3-RPM peak) and reconciles fully; it is recommended for CIO, ARB and Finance approval.</t>
        </is>
      </c>
    </row>
  </sheetData>
  <mergeCells count="22">
    <mergeCell ref="A24:B24"/>
    <mergeCell ref="A30:B30"/>
    <mergeCell ref="A15:B15"/>
    <mergeCell ref="A11:B11"/>
    <mergeCell ref="A1:B1"/>
    <mergeCell ref="A6:B6"/>
    <mergeCell ref="A18:B18"/>
    <mergeCell ref="A27:B27"/>
    <mergeCell ref="A12:B12"/>
    <mergeCell ref="A26:B26"/>
    <mergeCell ref="A21:B21"/>
    <mergeCell ref="A2:B2"/>
    <mergeCell ref="A33:B33"/>
    <mergeCell ref="A5:B5"/>
    <mergeCell ref="A32:B32"/>
    <mergeCell ref="A14:B14"/>
    <mergeCell ref="A23:B23"/>
    <mergeCell ref="A17:B17"/>
    <mergeCell ref="A8:B8"/>
    <mergeCell ref="A20:B20"/>
    <mergeCell ref="A29:B29"/>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2026-06-19T00:02:21Z</dcterms:created>
  <dcterms:modified xsi:type="dcterms:W3CDTF">2026-07-06T17:54:41Z</dcterms:modified>
  <cp:lastModifiedBy>Microsoft Office User</cp:lastModifiedBy>
</cp:coreProperties>
</file>